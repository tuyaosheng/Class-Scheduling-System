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8" activeTab="8"/>
  </bookViews>
  <sheets>
    <sheet name="9.09" sheetId="5" state="hidden" r:id="rId1"/>
    <sheet name="9.09 (3)" sheetId="9" state="hidden" r:id="rId2"/>
    <sheet name="9.09 (4)" sheetId="10" state="hidden" r:id="rId3"/>
    <sheet name="9.09 (2)" sheetId="8" state="hidden" r:id="rId4"/>
    <sheet name="初一" sheetId="3" state="hidden" r:id="rId5"/>
    <sheet name="初一 (2)" sheetId="4" state="hidden" r:id="rId6"/>
    <sheet name="Sheet1" sheetId="6" state="hidden" r:id="rId7"/>
    <sheet name="Sheet2" sheetId="7" state="hidden" r:id="rId8"/>
    <sheet name="下学期" sheetId="14" r:id="rId9"/>
  </sheets>
  <definedNames>
    <definedName name="_xlnm._FilterDatabase" localSheetId="8" hidden="1">下学期!$A$11:$AT$11</definedName>
    <definedName name="_xlnm.Print_Area" localSheetId="8">下学期!$A$1:$AT$45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<sst xmlns="http://schemas.openxmlformats.org/spreadsheetml/2006/main" count="10604" uniqueCount="444">
  <si>
    <t>2023-2024上学期课程总表(初一)2023.09.09.03版</t>
  </si>
  <si>
    <r>
      <rPr>
        <b/>
        <sz val="12"/>
        <rFont val="宋体"/>
        <charset val="134"/>
      </rPr>
      <t>星</t>
    </r>
    <r>
      <rPr>
        <b/>
        <sz val="12"/>
        <rFont val="Times New Roman"/>
        <charset val="134"/>
      </rPr>
      <t xml:space="preserve">  </t>
    </r>
    <r>
      <rPr>
        <b/>
        <sz val="12"/>
        <rFont val="宋体"/>
        <charset val="134"/>
      </rPr>
      <t>期</t>
    </r>
  </si>
  <si>
    <t>一(语)</t>
  </si>
  <si>
    <t>二(英)</t>
  </si>
  <si>
    <t>三(语)</t>
  </si>
  <si>
    <t>四(英)</t>
  </si>
  <si>
    <t>五(语)</t>
  </si>
  <si>
    <r>
      <rPr>
        <b/>
        <sz val="12"/>
        <rFont val="宋体"/>
        <charset val="134"/>
      </rPr>
      <t>午</t>
    </r>
    <r>
      <rPr>
        <b/>
        <sz val="12"/>
        <rFont val="Times New Roman"/>
        <charset val="134"/>
      </rPr>
      <t xml:space="preserve">  </t>
    </r>
    <r>
      <rPr>
        <b/>
        <sz val="12"/>
        <rFont val="宋体"/>
        <charset val="134"/>
      </rPr>
      <t>别</t>
    </r>
  </si>
  <si>
    <t>上　　　午</t>
  </si>
  <si>
    <t>下　午</t>
  </si>
  <si>
    <r>
      <rPr>
        <b/>
        <sz val="11"/>
        <rFont val="宋体"/>
        <charset val="134"/>
      </rPr>
      <t>节</t>
    </r>
    <r>
      <rPr>
        <b/>
        <sz val="11"/>
        <rFont val="Times New Roman"/>
        <charset val="134"/>
      </rPr>
      <t xml:space="preserve">  </t>
    </r>
    <r>
      <rPr>
        <b/>
        <sz val="11"/>
        <rFont val="宋体"/>
        <charset val="134"/>
      </rPr>
      <t>次</t>
    </r>
  </si>
  <si>
    <t>第二课堂</t>
  </si>
  <si>
    <t>语</t>
  </si>
  <si>
    <t>数学</t>
  </si>
  <si>
    <t>英</t>
  </si>
  <si>
    <t>道法</t>
  </si>
  <si>
    <t>历史</t>
  </si>
  <si>
    <t>地理</t>
  </si>
  <si>
    <t>生物</t>
  </si>
  <si>
    <t>体育</t>
  </si>
  <si>
    <t>音乐</t>
  </si>
  <si>
    <t>美术</t>
  </si>
  <si>
    <t>信息</t>
  </si>
  <si>
    <t>心理</t>
  </si>
  <si>
    <t>班会</t>
  </si>
  <si>
    <t>劳动</t>
  </si>
  <si>
    <t>听说</t>
  </si>
  <si>
    <t>综实2</t>
  </si>
  <si>
    <t>初一１</t>
  </si>
  <si>
    <t>地</t>
  </si>
  <si>
    <t>体</t>
  </si>
  <si>
    <t>心综</t>
  </si>
  <si>
    <t>数</t>
  </si>
  <si>
    <t>生</t>
  </si>
  <si>
    <t>班</t>
  </si>
  <si>
    <t>政</t>
  </si>
  <si>
    <t>历</t>
  </si>
  <si>
    <t>团队</t>
  </si>
  <si>
    <t>音</t>
  </si>
  <si>
    <t>信</t>
  </si>
  <si>
    <t>劳</t>
  </si>
  <si>
    <t>校本</t>
  </si>
  <si>
    <t>综康</t>
  </si>
  <si>
    <t>美</t>
  </si>
  <si>
    <t>初一２</t>
  </si>
  <si>
    <t>综春</t>
  </si>
  <si>
    <t>初一３</t>
  </si>
  <si>
    <t>综余</t>
  </si>
  <si>
    <t>初一４</t>
  </si>
  <si>
    <t>初一5</t>
  </si>
  <si>
    <t>综毛</t>
  </si>
  <si>
    <t>初一6</t>
  </si>
  <si>
    <t>初一7</t>
  </si>
  <si>
    <t>综娜</t>
  </si>
  <si>
    <t>初一8</t>
  </si>
  <si>
    <t>初一9</t>
  </si>
  <si>
    <t>综化</t>
  </si>
  <si>
    <t>初一10</t>
  </si>
  <si>
    <t>初一11</t>
  </si>
  <si>
    <t>综莎</t>
  </si>
  <si>
    <t>初一12</t>
  </si>
  <si>
    <t>初一13</t>
  </si>
  <si>
    <t>综熊</t>
  </si>
  <si>
    <t>初一14</t>
  </si>
  <si>
    <t>初一15</t>
  </si>
  <si>
    <t>综辉</t>
  </si>
  <si>
    <t>综娟</t>
  </si>
  <si>
    <t>初一16</t>
  </si>
  <si>
    <t>初一17</t>
  </si>
  <si>
    <t>综波</t>
  </si>
  <si>
    <t>初一18</t>
  </si>
  <si>
    <t>初一19</t>
  </si>
  <si>
    <t>综雅</t>
  </si>
  <si>
    <t>初一20</t>
  </si>
  <si>
    <t>初一21</t>
  </si>
  <si>
    <t>综陆</t>
  </si>
  <si>
    <t>初一22</t>
  </si>
  <si>
    <t>初一23</t>
  </si>
  <si>
    <t>综甜</t>
  </si>
  <si>
    <t>初一24</t>
  </si>
  <si>
    <t>初一25</t>
  </si>
  <si>
    <t>综文</t>
  </si>
  <si>
    <t>初一26</t>
  </si>
  <si>
    <t>班主任会</t>
  </si>
  <si>
    <t>化学、体育、信息、艺术
科组活动</t>
  </si>
  <si>
    <t>初中数学、政治、生物、心理
科组活动</t>
  </si>
  <si>
    <t>物理、英语、地理
科组活动</t>
  </si>
  <si>
    <t>行政会</t>
  </si>
  <si>
    <t>初中语文、历史
科组活动</t>
  </si>
  <si>
    <t>科级德育心理会</t>
  </si>
  <si>
    <t>2023-2024上学期课程总表(初一)2023.09.10版</t>
  </si>
  <si>
    <t>2023-2024上学期课程总表(初一)2023.10.08版</t>
  </si>
  <si>
    <t>2023-2024上学期课程总表(初一)2023.09.09</t>
  </si>
  <si>
    <t>2023-2024上学期课程总表(初一)</t>
  </si>
  <si>
    <t>2023-2024上学期课程总表(总表)初三优先</t>
  </si>
  <si>
    <t>校本课程</t>
  </si>
  <si>
    <t>初三１</t>
  </si>
  <si>
    <t>物</t>
  </si>
  <si>
    <t>心团</t>
  </si>
  <si>
    <t>化实</t>
  </si>
  <si>
    <t>综艾</t>
  </si>
  <si>
    <t>化</t>
  </si>
  <si>
    <t>物实</t>
  </si>
  <si>
    <t>阅读</t>
  </si>
  <si>
    <t>选彭</t>
  </si>
  <si>
    <t>劳杨</t>
  </si>
  <si>
    <t>初三２</t>
  </si>
  <si>
    <t>初三3</t>
  </si>
  <si>
    <t>综石</t>
  </si>
  <si>
    <t>选梁</t>
  </si>
  <si>
    <t>初三4</t>
  </si>
  <si>
    <t>初三5</t>
  </si>
  <si>
    <t>综凤</t>
  </si>
  <si>
    <t>劳珠</t>
  </si>
  <si>
    <t>选兆</t>
  </si>
  <si>
    <t>初三6</t>
  </si>
  <si>
    <t>初三7</t>
  </si>
  <si>
    <t>综幸</t>
  </si>
  <si>
    <t>选文</t>
  </si>
  <si>
    <t>初三8</t>
  </si>
  <si>
    <t>综潘</t>
  </si>
  <si>
    <t>初三9</t>
  </si>
  <si>
    <t>综杨</t>
  </si>
  <si>
    <t>劳剑</t>
  </si>
  <si>
    <t>选琳</t>
  </si>
  <si>
    <t>初三10</t>
  </si>
  <si>
    <t>初三11</t>
  </si>
  <si>
    <t>综芳</t>
  </si>
  <si>
    <t>劳廖</t>
  </si>
  <si>
    <t>选王</t>
  </si>
  <si>
    <t>初三12</t>
  </si>
  <si>
    <t>初三13</t>
  </si>
  <si>
    <t>综袁</t>
  </si>
  <si>
    <t>选汤</t>
  </si>
  <si>
    <t>初三14</t>
  </si>
  <si>
    <t>选芬</t>
  </si>
  <si>
    <t>初二１</t>
  </si>
  <si>
    <t>综黄</t>
  </si>
  <si>
    <t>语阅</t>
  </si>
  <si>
    <t>劳练</t>
  </si>
  <si>
    <t>初二２</t>
  </si>
  <si>
    <t>初二３</t>
  </si>
  <si>
    <t>劳汪</t>
  </si>
  <si>
    <t>初二４</t>
  </si>
  <si>
    <t>综王</t>
  </si>
  <si>
    <t>初二5</t>
  </si>
  <si>
    <t>劳陈</t>
  </si>
  <si>
    <t>初二6</t>
  </si>
  <si>
    <t>劳黎</t>
  </si>
  <si>
    <t>初二7</t>
  </si>
  <si>
    <t>劳晨</t>
  </si>
  <si>
    <t>综隽</t>
  </si>
  <si>
    <t>初二8</t>
  </si>
  <si>
    <t>初二9</t>
  </si>
  <si>
    <t>劳莉</t>
  </si>
  <si>
    <t>初二10</t>
  </si>
  <si>
    <t>综何</t>
  </si>
  <si>
    <t>初二11</t>
  </si>
  <si>
    <t>劳曾</t>
  </si>
  <si>
    <t>初二12</t>
  </si>
  <si>
    <t>初二13</t>
  </si>
  <si>
    <t>综莫</t>
  </si>
  <si>
    <t>劳勇</t>
  </si>
  <si>
    <t>初二14</t>
  </si>
  <si>
    <t>综雷</t>
  </si>
  <si>
    <t>初二15</t>
  </si>
  <si>
    <t>劳吴</t>
  </si>
  <si>
    <t>初二16</t>
  </si>
  <si>
    <t>综珊</t>
  </si>
  <si>
    <t>初二17</t>
  </si>
  <si>
    <t>劳果</t>
  </si>
  <si>
    <t>初二18</t>
  </si>
  <si>
    <t>2023-2024第一学期初三年级教师安排表</t>
  </si>
  <si>
    <t>班别</t>
  </si>
  <si>
    <t>语文</t>
  </si>
  <si>
    <t>英语</t>
  </si>
  <si>
    <t>物理</t>
  </si>
  <si>
    <t>化学</t>
  </si>
  <si>
    <t>心、团</t>
  </si>
  <si>
    <t>综实</t>
  </si>
  <si>
    <t>选修</t>
  </si>
  <si>
    <t>班主任</t>
  </si>
  <si>
    <r>
      <rPr>
        <b/>
        <sz val="11"/>
        <color theme="1"/>
        <rFont val="等线"/>
        <charset val="134"/>
      </rPr>
      <t>落级行政</t>
    </r>
    <r>
      <rPr>
        <sz val="11"/>
        <color theme="1"/>
        <rFont val="等线"/>
        <charset val="134"/>
      </rPr>
      <t xml:space="preserve">
幸彦文
刁海胜   
</t>
    </r>
    <r>
      <rPr>
        <b/>
        <sz val="11"/>
        <color theme="1"/>
        <rFont val="等线"/>
        <charset val="134"/>
      </rPr>
      <t>级组长</t>
    </r>
    <r>
      <rPr>
        <sz val="11"/>
        <color theme="1"/>
        <rFont val="等线"/>
        <charset val="134"/>
      </rPr>
      <t xml:space="preserve"> 
陈文苑
蔡健和
</t>
    </r>
    <r>
      <rPr>
        <b/>
        <sz val="11"/>
        <color theme="1"/>
        <rFont val="等线"/>
        <charset val="134"/>
      </rPr>
      <t>数据统计</t>
    </r>
    <r>
      <rPr>
        <sz val="11"/>
        <color theme="1"/>
        <rFont val="等线"/>
        <charset val="134"/>
      </rPr>
      <t xml:space="preserve">
肖康锋</t>
    </r>
  </si>
  <si>
    <t>彭琳</t>
  </si>
  <si>
    <t>艾雅娟</t>
  </si>
  <si>
    <t>彭素灵</t>
  </si>
  <si>
    <t>王锴</t>
  </si>
  <si>
    <t>许少漫</t>
  </si>
  <si>
    <t>杨雯丽</t>
  </si>
  <si>
    <t>张明彩</t>
  </si>
  <si>
    <t>蔡健和</t>
  </si>
  <si>
    <t>陈帅</t>
  </si>
  <si>
    <t>梁艳红</t>
  </si>
  <si>
    <t>李舒婷</t>
  </si>
  <si>
    <t>邹春明</t>
  </si>
  <si>
    <t>汤丽</t>
  </si>
  <si>
    <t>石洁洁</t>
  </si>
  <si>
    <t>梁嘉颖</t>
  </si>
  <si>
    <t>黄雪珍</t>
  </si>
  <si>
    <t>叶梓欣</t>
  </si>
  <si>
    <t>李青桂</t>
  </si>
  <si>
    <t>陈贞杰</t>
  </si>
  <si>
    <t>马榕桧</t>
  </si>
  <si>
    <t>黄玉凤</t>
  </si>
  <si>
    <t>李兆欣</t>
  </si>
  <si>
    <t>林贵珠</t>
  </si>
  <si>
    <t>肖康锋</t>
  </si>
  <si>
    <t>兰浩宇</t>
  </si>
  <si>
    <t>丁秀玲</t>
  </si>
  <si>
    <t>吴华光</t>
  </si>
  <si>
    <t>李 琼</t>
  </si>
  <si>
    <t>幸彦文</t>
  </si>
  <si>
    <t>陈文苑</t>
  </si>
  <si>
    <t>许颖斌</t>
  </si>
  <si>
    <t>陈贺棉</t>
  </si>
  <si>
    <t>叶欢</t>
  </si>
  <si>
    <t>陈晓媚</t>
  </si>
  <si>
    <t>戚泳辉</t>
  </si>
  <si>
    <t>李  琼</t>
  </si>
  <si>
    <t>陈微璇</t>
  </si>
  <si>
    <t>杨洪</t>
  </si>
  <si>
    <t>何美琳</t>
  </si>
  <si>
    <t>杨家诵</t>
  </si>
  <si>
    <t>孙 剑</t>
  </si>
  <si>
    <t>叶格婷</t>
  </si>
  <si>
    <t>闭周乾</t>
  </si>
  <si>
    <t>刘淑芳</t>
  </si>
  <si>
    <t>王宝娟</t>
  </si>
  <si>
    <t>罗伟明</t>
  </si>
  <si>
    <t>莫楚瑶</t>
  </si>
  <si>
    <t>廖文峰</t>
  </si>
  <si>
    <t>袁君</t>
  </si>
  <si>
    <t>梁文忠</t>
  </si>
  <si>
    <t>段培培</t>
  </si>
  <si>
    <t>郭晓丹</t>
  </si>
  <si>
    <t>曹  曦</t>
  </si>
  <si>
    <t>袁天婷</t>
  </si>
  <si>
    <t>汤红</t>
  </si>
  <si>
    <t>章大伟</t>
  </si>
  <si>
    <t>郭婉芬</t>
  </si>
  <si>
    <t>刁海胜</t>
  </si>
  <si>
    <t>备课组长</t>
  </si>
  <si>
    <t>周课时</t>
  </si>
  <si>
    <t>2023-2024第一学期初二年级教师安排表</t>
  </si>
  <si>
    <r>
      <rPr>
        <b/>
        <sz val="11"/>
        <color theme="1"/>
        <rFont val="等线"/>
        <charset val="134"/>
      </rPr>
      <t xml:space="preserve">落级行政
</t>
    </r>
    <r>
      <rPr>
        <sz val="11"/>
        <color theme="1"/>
        <rFont val="等线"/>
        <charset val="134"/>
      </rPr>
      <t>黎业铮
黄珍</t>
    </r>
    <r>
      <rPr>
        <b/>
        <sz val="11"/>
        <color theme="1"/>
        <rFont val="等线"/>
        <charset val="134"/>
      </rPr>
      <t xml:space="preserve">
级组长 
</t>
    </r>
    <r>
      <rPr>
        <sz val="11"/>
        <color theme="1"/>
        <rFont val="等线"/>
        <charset val="134"/>
      </rPr>
      <t>汪泽辰
莫柱森
吴名海</t>
    </r>
    <r>
      <rPr>
        <b/>
        <sz val="11"/>
        <color theme="1"/>
        <rFont val="等线"/>
        <charset val="134"/>
      </rPr>
      <t xml:space="preserve">
数据统计
</t>
    </r>
    <r>
      <rPr>
        <sz val="11"/>
        <color theme="1"/>
        <rFont val="等线"/>
        <charset val="134"/>
      </rPr>
      <t>涂耀升</t>
    </r>
    <r>
      <rPr>
        <b/>
        <sz val="11"/>
        <color theme="1"/>
        <rFont val="等线"/>
        <charset val="134"/>
      </rPr>
      <t xml:space="preserve">
</t>
    </r>
  </si>
  <si>
    <t>邵文</t>
  </si>
  <si>
    <t>练芳怡</t>
  </si>
  <si>
    <t>陈业浪</t>
  </si>
  <si>
    <t>廖涌锋</t>
  </si>
  <si>
    <t>何冰</t>
  </si>
  <si>
    <t>古美云</t>
  </si>
  <si>
    <t>余雅翎</t>
  </si>
  <si>
    <t>黄媛</t>
  </si>
  <si>
    <t>何永宾</t>
  </si>
  <si>
    <t>周新颜</t>
  </si>
  <si>
    <t>梁少华</t>
  </si>
  <si>
    <t>叶柳娟</t>
  </si>
  <si>
    <t>钟丽清</t>
  </si>
  <si>
    <t>汪泽辰</t>
  </si>
  <si>
    <t>黄金平</t>
  </si>
  <si>
    <t>董国丽</t>
  </si>
  <si>
    <t>郭琼芝</t>
  </si>
  <si>
    <t>王洵玲</t>
  </si>
  <si>
    <t>焦雪</t>
  </si>
  <si>
    <t>陈新统</t>
  </si>
  <si>
    <t>巫鹏威</t>
  </si>
  <si>
    <t>文科</t>
  </si>
  <si>
    <t>黎业铮</t>
  </si>
  <si>
    <t>黄晓威</t>
  </si>
  <si>
    <t>汪晨晨</t>
  </si>
  <si>
    <t>张堉玫</t>
  </si>
  <si>
    <t>罗广郁</t>
  </si>
  <si>
    <t>叶权胜</t>
  </si>
  <si>
    <t>徐晓晴</t>
  </si>
  <si>
    <t>苏珂杏</t>
  </si>
  <si>
    <t>郑予隽</t>
  </si>
  <si>
    <t>颜韶平</t>
  </si>
  <si>
    <t>黄莉莉</t>
  </si>
  <si>
    <t>刘幸贤</t>
  </si>
  <si>
    <t>莫柱森</t>
  </si>
  <si>
    <t>黄壮</t>
  </si>
  <si>
    <t>何斌</t>
  </si>
  <si>
    <t>陈婷</t>
  </si>
  <si>
    <t>曾心怡</t>
  </si>
  <si>
    <t>陈雅妮</t>
  </si>
  <si>
    <t>涂耀升</t>
  </si>
  <si>
    <t>陈姿娟</t>
  </si>
  <si>
    <t>陶婷</t>
  </si>
  <si>
    <t>黄勇</t>
  </si>
  <si>
    <t>邓深</t>
  </si>
  <si>
    <t>陶锋彪</t>
  </si>
  <si>
    <t>李诗</t>
  </si>
  <si>
    <t>梁嘉欣</t>
  </si>
  <si>
    <t>苏佩仪</t>
  </si>
  <si>
    <t>莫胜</t>
  </si>
  <si>
    <t>雷彦</t>
  </si>
  <si>
    <t>黄珍</t>
  </si>
  <si>
    <t>吴名海</t>
  </si>
  <si>
    <t>徐慧棋</t>
  </si>
  <si>
    <t>邓江云</t>
  </si>
  <si>
    <t>梁晓华</t>
  </si>
  <si>
    <t>郑艳秀</t>
  </si>
  <si>
    <t>余彦琼</t>
  </si>
  <si>
    <t>徐佩珊</t>
  </si>
  <si>
    <t>林慧珍</t>
  </si>
  <si>
    <t>孙果</t>
  </si>
  <si>
    <t>叶宽朗</t>
  </si>
  <si>
    <t>蔡瑶婷</t>
  </si>
  <si>
    <t>周二T8</t>
  </si>
  <si>
    <t>周四校本</t>
  </si>
  <si>
    <t>注意：周二下午8节教工会，行政会周四上午，周一上午4、5节班主任会，周五上午4、5节科级会，周四9节校本（8次），科组会按市科组会时间安排（化学为周二早上）</t>
  </si>
  <si>
    <t>2023-2024第一学期初一年级教师安排表</t>
  </si>
  <si>
    <t>综实1</t>
  </si>
  <si>
    <r>
      <rPr>
        <b/>
        <sz val="11"/>
        <color theme="1"/>
        <rFont val="等线"/>
        <charset val="134"/>
      </rPr>
      <t xml:space="preserve">落级行政
</t>
    </r>
    <r>
      <rPr>
        <sz val="11"/>
        <color theme="1"/>
        <rFont val="等线"/>
        <charset val="134"/>
      </rPr>
      <t>吴康德
黄剑枫
级组长 
陈洁佳
丘 彪
钟文驰</t>
    </r>
    <r>
      <rPr>
        <b/>
        <sz val="11"/>
        <color theme="1"/>
        <rFont val="等线"/>
        <charset val="134"/>
      </rPr>
      <t xml:space="preserve">
数据统计
</t>
    </r>
    <r>
      <rPr>
        <sz val="11"/>
        <color theme="1"/>
        <rFont val="等线"/>
        <charset val="134"/>
      </rPr>
      <t>丘 彪</t>
    </r>
    <r>
      <rPr>
        <b/>
        <sz val="11"/>
        <color theme="1"/>
        <rFont val="等线"/>
        <charset val="134"/>
      </rPr>
      <t xml:space="preserve">
</t>
    </r>
  </si>
  <si>
    <t>黄幸婷</t>
  </si>
  <si>
    <t>吴康德</t>
  </si>
  <si>
    <t>沈芊芊</t>
  </si>
  <si>
    <t>符燕珍</t>
  </si>
  <si>
    <t>陈咏琪</t>
  </si>
  <si>
    <t>杨玉婷</t>
  </si>
  <si>
    <t>徐帆</t>
  </si>
  <si>
    <t>陈昌盛</t>
  </si>
  <si>
    <t>陈彩凤</t>
  </si>
  <si>
    <t>钟云</t>
  </si>
  <si>
    <t>丘彪</t>
  </si>
  <si>
    <t>叶丽文</t>
  </si>
  <si>
    <t>刘向文</t>
  </si>
  <si>
    <t>罗泽海</t>
  </si>
  <si>
    <t>杨秀春</t>
  </si>
  <si>
    <t>郭徐铭</t>
  </si>
  <si>
    <t>余奕柔</t>
  </si>
  <si>
    <t>李燕飞</t>
  </si>
  <si>
    <t>黄嘉瑜</t>
  </si>
  <si>
    <t>胡  畔</t>
  </si>
  <si>
    <t>毛露苹</t>
  </si>
  <si>
    <t>梁嘉琦</t>
  </si>
  <si>
    <t>肖伟丽</t>
  </si>
  <si>
    <t>王义拾</t>
  </si>
  <si>
    <t xml:space="preserve">徐大专 </t>
  </si>
  <si>
    <t>吕锡威</t>
  </si>
  <si>
    <t>全兴平</t>
  </si>
  <si>
    <t>吴丹娜</t>
  </si>
  <si>
    <t>肖婷</t>
  </si>
  <si>
    <t>卢艳技</t>
  </si>
  <si>
    <t>王海维</t>
  </si>
  <si>
    <t>张瀛化</t>
  </si>
  <si>
    <t xml:space="preserve"> 李炜琪</t>
  </si>
  <si>
    <t>李楚海</t>
  </si>
  <si>
    <t>袁浩</t>
  </si>
  <si>
    <t>刘振平</t>
  </si>
  <si>
    <t>杨样</t>
  </si>
  <si>
    <t>陈媛</t>
  </si>
  <si>
    <t>曹莎</t>
  </si>
  <si>
    <t>蔡嘉丽</t>
  </si>
  <si>
    <t>惠嘉欣</t>
  </si>
  <si>
    <t>陈秀连</t>
  </si>
  <si>
    <t>陈礼华</t>
  </si>
  <si>
    <t>熊鑫</t>
  </si>
  <si>
    <t>陈小雨</t>
  </si>
  <si>
    <t>邓彩杰</t>
  </si>
  <si>
    <t>钟文驰</t>
  </si>
  <si>
    <t>郭泽琪</t>
  </si>
  <si>
    <t>翟润金</t>
  </si>
  <si>
    <t>钟润菲</t>
  </si>
  <si>
    <t>李汶芳</t>
  </si>
  <si>
    <t>尹志颖</t>
  </si>
  <si>
    <t xml:space="preserve"> 黄颖儿</t>
  </si>
  <si>
    <t>张永辉</t>
  </si>
  <si>
    <t>陈满娇</t>
  </si>
  <si>
    <t>刘晓洁</t>
  </si>
  <si>
    <t>郑婉薇</t>
  </si>
  <si>
    <t>黄淑君</t>
  </si>
  <si>
    <t>颜书琴</t>
  </si>
  <si>
    <t>黄晓波</t>
  </si>
  <si>
    <t xml:space="preserve">  符小慧</t>
  </si>
  <si>
    <t>周志宁</t>
  </si>
  <si>
    <t>何志餐</t>
  </si>
  <si>
    <t>黄剑枫</t>
  </si>
  <si>
    <t>郭希贤</t>
  </si>
  <si>
    <t>陶佳芝</t>
  </si>
  <si>
    <t>罗丽丹</t>
  </si>
  <si>
    <t>彭素雅</t>
  </si>
  <si>
    <t xml:space="preserve"> 齐  冀</t>
  </si>
  <si>
    <t>李 芬</t>
  </si>
  <si>
    <t>桂相平</t>
  </si>
  <si>
    <t>陆文彬</t>
  </si>
  <si>
    <t xml:space="preserve"> 段桂红 </t>
  </si>
  <si>
    <t xml:space="preserve">曹志辉 </t>
  </si>
  <si>
    <t>叶友贵</t>
  </si>
  <si>
    <t>叶艳玲</t>
  </si>
  <si>
    <t>张帆</t>
  </si>
  <si>
    <t xml:space="preserve"> 漆雯依</t>
  </si>
  <si>
    <t xml:space="preserve">王 甜 </t>
  </si>
  <si>
    <t>陈洁佳</t>
  </si>
  <si>
    <t>梁树兴</t>
  </si>
  <si>
    <t>杨胜琳</t>
  </si>
  <si>
    <t>黄强</t>
  </si>
  <si>
    <t xml:space="preserve"> 杜珍珍</t>
  </si>
  <si>
    <t>文望桃</t>
  </si>
  <si>
    <t>李欣风</t>
  </si>
  <si>
    <t>邓宇中</t>
  </si>
  <si>
    <t>周四8</t>
  </si>
  <si>
    <t>周二8</t>
  </si>
  <si>
    <t>注意：周二下午8节教工会，行政会周四上午，周一上午4、5节班主任会，周五上午4、5节科级会，周四8.9节校本（8次），科组会按市科组会时间安排（化学为周二早上）</t>
  </si>
  <si>
    <t>年级课程总表</t>
  </si>
  <si>
    <t>一</t>
  </si>
  <si>
    <t>二</t>
  </si>
  <si>
    <t>三</t>
  </si>
  <si>
    <t>四</t>
  </si>
  <si>
    <t>五</t>
  </si>
  <si>
    <t>体心</t>
  </si>
  <si>
    <t>体总</t>
  </si>
  <si>
    <t>信美</t>
  </si>
  <si>
    <t>信总</t>
  </si>
  <si>
    <t>初三1</t>
  </si>
  <si>
    <t>体比</t>
  </si>
  <si>
    <t>校本1</t>
  </si>
  <si>
    <t>体选</t>
  </si>
  <si>
    <t>初三2</t>
  </si>
  <si>
    <t>初三15</t>
  </si>
  <si>
    <t>初三16</t>
  </si>
  <si>
    <t>初三17</t>
  </si>
  <si>
    <t>初三18</t>
  </si>
  <si>
    <t>初三19</t>
  </si>
  <si>
    <t>初三20</t>
  </si>
  <si>
    <t>初三21</t>
  </si>
  <si>
    <t>初三22</t>
  </si>
  <si>
    <t>初三23</t>
  </si>
  <si>
    <t>初三24</t>
  </si>
  <si>
    <t>初三25</t>
  </si>
  <si>
    <t>初三26</t>
  </si>
  <si>
    <t>初三27</t>
  </si>
  <si>
    <t>初三28</t>
  </si>
  <si>
    <t>初三29</t>
  </si>
  <si>
    <t>初三30</t>
  </si>
  <si>
    <t>初三31</t>
  </si>
  <si>
    <t>初三32</t>
  </si>
  <si>
    <t>英语、化学、体育
科组活动</t>
  </si>
  <si>
    <t>教职工大会</t>
  </si>
  <si>
    <t>数学、政治、心理
科组活动</t>
  </si>
  <si>
    <t>信息、音乐科组活动</t>
  </si>
  <si>
    <t>物理、生物、地理
科组活动</t>
  </si>
  <si>
    <t>初中语文、历史、美术
科组活动</t>
  </si>
  <si>
    <t>科组、级组、德育心理会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</si>
</sst>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9"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2"/>
      <color rgb="FFFF0000"/>
      <name val="宋体"/>
      <charset val="134"/>
    </font>
    <font>
      <sz val="12"/>
      <color rgb="FF00B0F0"/>
      <name val="宋体"/>
      <charset val="134"/>
    </font>
    <font>
      <sz val="12"/>
      <color rgb="FF7030A0"/>
      <name val="宋体"/>
      <charset val="134"/>
    </font>
    <font>
      <b/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b/>
      <sz val="18"/>
      <name val="宋体"/>
      <charset val="134"/>
    </font>
    <font>
      <sz val="18"/>
      <name val="宋体"/>
      <charset val="134"/>
    </font>
    <font>
      <b/>
      <sz val="12"/>
      <name val="宋体"/>
      <charset val="134"/>
    </font>
    <font>
      <b/>
      <sz val="12"/>
      <name val="黑体"/>
      <charset val="134"/>
    </font>
    <font>
      <sz val="12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b/>
      <sz val="20"/>
      <name val="Times New Roman"/>
      <charset val="134"/>
    </font>
    <font>
      <b/>
      <sz val="16"/>
      <color indexed="8"/>
      <name val="宋体"/>
      <charset val="134"/>
    </font>
    <font>
      <b/>
      <sz val="16"/>
      <name val="宋体"/>
      <charset val="134"/>
    </font>
    <font>
      <sz val="16"/>
      <color rgb="FF00B0F0"/>
      <name val="宋体"/>
      <charset val="134"/>
    </font>
    <font>
      <sz val="16"/>
      <color theme="5" tint="-0.249977111117893"/>
      <name val="宋体"/>
      <charset val="134"/>
    </font>
    <font>
      <sz val="14"/>
      <color rgb="FFFF0000"/>
      <name val="宋体"/>
      <charset val="134"/>
    </font>
    <font>
      <b/>
      <sz val="16"/>
      <color rgb="FF7030A0"/>
      <name val="宋体"/>
      <charset val="134"/>
    </font>
    <font>
      <sz val="16"/>
      <name val="宋体"/>
      <charset val="134"/>
    </font>
    <font>
      <b/>
      <sz val="16"/>
      <color theme="9" tint="-0.499984740745262"/>
      <name val="宋体"/>
      <charset val="134"/>
    </font>
    <font>
      <sz val="16"/>
      <color rgb="FFFF0000"/>
      <name val="宋体"/>
      <charset val="134"/>
    </font>
    <font>
      <sz val="18"/>
      <color theme="1"/>
      <name val="华康简标题宋"/>
      <charset val="134"/>
    </font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b/>
      <sz val="11"/>
      <color theme="1"/>
      <name val="宋体"/>
      <charset val="134"/>
      <scheme val="minor"/>
    </font>
    <font>
      <sz val="10.5"/>
      <color theme="1"/>
      <name val="等线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</font>
    <font>
      <sz val="10.5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.5"/>
      <color theme="1"/>
      <name val="等线"/>
      <charset val="134"/>
    </font>
    <font>
      <sz val="11"/>
      <name val="宋体"/>
      <charset val="134"/>
    </font>
    <font>
      <sz val="24"/>
      <name val="宋体"/>
      <charset val="134"/>
    </font>
    <font>
      <b/>
      <sz val="24"/>
      <name val="宋体"/>
      <charset val="134"/>
    </font>
    <font>
      <sz val="24"/>
      <name val="宋体"/>
      <charset val="134"/>
      <scheme val="minor"/>
    </font>
    <font>
      <sz val="24"/>
      <color rgb="FFFF0000"/>
      <name val="宋体"/>
      <charset val="134"/>
    </font>
    <font>
      <sz val="24"/>
      <color rgb="FFFF0000"/>
      <name val="宋体"/>
      <charset val="134"/>
      <scheme val="minor"/>
    </font>
    <font>
      <sz val="12"/>
      <name val="黑体"/>
      <charset val="134"/>
    </font>
    <font>
      <sz val="20"/>
      <name val="Times New Roman"/>
      <charset val="134"/>
    </font>
    <font>
      <sz val="8"/>
      <name val="宋体"/>
      <charset val="134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Times New Roman"/>
      <charset val="134"/>
    </font>
    <font>
      <b/>
      <sz val="11"/>
      <name val="Times New Roman"/>
      <charset val="134"/>
    </font>
  </fonts>
  <fills count="6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EC73E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ED8BE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DE26BE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78B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7" fillId="31" borderId="62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63" applyNumberFormat="0" applyFill="0" applyAlignment="0" applyProtection="0">
      <alignment vertical="center"/>
    </xf>
    <xf numFmtId="0" fontId="54" fillId="0" borderId="63" applyNumberFormat="0" applyFill="0" applyAlignment="0" applyProtection="0">
      <alignment vertical="center"/>
    </xf>
    <xf numFmtId="0" fontId="55" fillId="0" borderId="6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32" borderId="65" applyNumberFormat="0" applyAlignment="0" applyProtection="0">
      <alignment vertical="center"/>
    </xf>
    <xf numFmtId="0" fontId="57" fillId="33" borderId="66" applyNumberFormat="0" applyAlignment="0" applyProtection="0">
      <alignment vertical="center"/>
    </xf>
    <xf numFmtId="0" fontId="58" fillId="33" borderId="65" applyNumberFormat="0" applyAlignment="0" applyProtection="0">
      <alignment vertical="center"/>
    </xf>
    <xf numFmtId="0" fontId="59" fillId="34" borderId="67" applyNumberFormat="0" applyAlignment="0" applyProtection="0">
      <alignment vertical="center"/>
    </xf>
    <xf numFmtId="0" fontId="60" fillId="0" borderId="68" applyNumberFormat="0" applyFill="0" applyAlignment="0" applyProtection="0">
      <alignment vertical="center"/>
    </xf>
    <xf numFmtId="0" fontId="61" fillId="0" borderId="69" applyNumberFormat="0" applyFill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6" fillId="39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5" fillId="48" borderId="0" applyNumberFormat="0" applyBorder="0" applyAlignment="0" applyProtection="0">
      <alignment vertical="center"/>
    </xf>
    <xf numFmtId="0" fontId="65" fillId="49" borderId="0" applyNumberFormat="0" applyBorder="0" applyAlignment="0" applyProtection="0">
      <alignment vertical="center"/>
    </xf>
    <xf numFmtId="0" fontId="66" fillId="50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65" fillId="52" borderId="0" applyNumberFormat="0" applyBorder="0" applyAlignment="0" applyProtection="0">
      <alignment vertical="center"/>
    </xf>
    <xf numFmtId="0" fontId="65" fillId="53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5" borderId="0" applyNumberFormat="0" applyBorder="0" applyAlignment="0" applyProtection="0">
      <alignment vertical="center"/>
    </xf>
    <xf numFmtId="0" fontId="65" fillId="56" borderId="0" applyNumberFormat="0" applyBorder="0" applyAlignment="0" applyProtection="0">
      <alignment vertical="center"/>
    </xf>
    <xf numFmtId="0" fontId="65" fillId="57" borderId="0" applyNumberFormat="0" applyBorder="0" applyAlignment="0" applyProtection="0">
      <alignment vertical="center"/>
    </xf>
    <xf numFmtId="0" fontId="66" fillId="58" borderId="0" applyNumberFormat="0" applyBorder="0" applyAlignment="0" applyProtection="0">
      <alignment vertical="center"/>
    </xf>
    <xf numFmtId="0" fontId="66" fillId="59" borderId="0" applyNumberFormat="0" applyBorder="0" applyAlignment="0" applyProtection="0">
      <alignment vertical="center"/>
    </xf>
    <xf numFmtId="0" fontId="65" fillId="6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7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23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23" fillId="0" borderId="12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23" fillId="0" borderId="16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2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vertical="center"/>
    </xf>
    <xf numFmtId="0" fontId="28" fillId="0" borderId="21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8" fillId="0" borderId="23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9" fillId="0" borderId="11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vertical="center"/>
    </xf>
    <xf numFmtId="0" fontId="29" fillId="0" borderId="25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/>
    </xf>
    <xf numFmtId="0" fontId="28" fillId="0" borderId="26" xfId="0" applyFont="1" applyFill="1" applyBorder="1" applyAlignment="1">
      <alignment horizontal="center" vertical="center" wrapText="1"/>
    </xf>
    <xf numFmtId="0" fontId="30" fillId="0" borderId="22" xfId="0" applyFont="1" applyFill="1" applyBorder="1" applyAlignment="1">
      <alignment horizontal="center" vertical="center"/>
    </xf>
    <xf numFmtId="0" fontId="30" fillId="0" borderId="23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/>
    </xf>
    <xf numFmtId="0" fontId="32" fillId="0" borderId="26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vertical="center"/>
    </xf>
    <xf numFmtId="0" fontId="32" fillId="0" borderId="26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32" fillId="0" borderId="22" xfId="0" applyFont="1" applyFill="1" applyBorder="1" applyAlignment="1">
      <alignment horizontal="center" vertical="center"/>
    </xf>
    <xf numFmtId="0" fontId="32" fillId="0" borderId="27" xfId="0" applyFont="1" applyFill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0" fillId="0" borderId="28" xfId="0" applyFont="1" applyFill="1" applyBorder="1" applyAlignment="1">
      <alignment horizontal="center" vertical="center"/>
    </xf>
    <xf numFmtId="0" fontId="32" fillId="0" borderId="23" xfId="0" applyFont="1" applyFill="1" applyBorder="1" applyAlignment="1">
      <alignment horizontal="center" vertical="center"/>
    </xf>
    <xf numFmtId="0" fontId="32" fillId="0" borderId="29" xfId="0" applyFont="1" applyFill="1" applyBorder="1" applyAlignment="1">
      <alignment horizontal="center" vertical="center"/>
    </xf>
    <xf numFmtId="0" fontId="32" fillId="0" borderId="24" xfId="0" applyFont="1" applyFill="1" applyBorder="1" applyAlignment="1">
      <alignment horizontal="center" vertical="center"/>
    </xf>
    <xf numFmtId="0" fontId="27" fillId="0" borderId="30" xfId="0" applyFont="1" applyFill="1" applyBorder="1" applyAlignment="1">
      <alignment vertical="center"/>
    </xf>
    <xf numFmtId="0" fontId="30" fillId="0" borderId="25" xfId="0" applyFont="1" applyFill="1" applyBorder="1" applyAlignment="1">
      <alignment vertical="center"/>
    </xf>
    <xf numFmtId="0" fontId="30" fillId="0" borderId="1" xfId="0" applyFont="1" applyFill="1" applyBorder="1" applyAlignment="1">
      <alignment vertical="center"/>
    </xf>
    <xf numFmtId="0" fontId="32" fillId="0" borderId="24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/>
    </xf>
    <xf numFmtId="0" fontId="32" fillId="0" borderId="21" xfId="0" applyFont="1" applyFill="1" applyBorder="1" applyAlignment="1">
      <alignment horizontal="center" vertical="center"/>
    </xf>
    <xf numFmtId="0" fontId="32" fillId="0" borderId="31" xfId="0" applyFont="1" applyFill="1" applyBorder="1" applyAlignment="1">
      <alignment horizontal="center" vertical="center"/>
    </xf>
    <xf numFmtId="0" fontId="32" fillId="0" borderId="32" xfId="0" applyFont="1" applyFill="1" applyBorder="1" applyAlignment="1">
      <alignment horizontal="center" vertical="center"/>
    </xf>
    <xf numFmtId="0" fontId="27" fillId="0" borderId="8" xfId="0" applyFont="1" applyFill="1" applyBorder="1" applyAlignment="1">
      <alignment vertical="center"/>
    </xf>
    <xf numFmtId="0" fontId="32" fillId="0" borderId="33" xfId="0" applyFont="1" applyFill="1" applyBorder="1" applyAlignment="1">
      <alignment horizontal="center" vertical="center"/>
    </xf>
    <xf numFmtId="0" fontId="32" fillId="0" borderId="13" xfId="0" applyFont="1" applyFill="1" applyBorder="1" applyAlignment="1">
      <alignment horizontal="center" vertical="center"/>
    </xf>
    <xf numFmtId="0" fontId="32" fillId="0" borderId="8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vertical="center"/>
    </xf>
    <xf numFmtId="0" fontId="34" fillId="0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vertical="center"/>
    </xf>
    <xf numFmtId="0" fontId="34" fillId="0" borderId="2" xfId="0" applyFont="1" applyFill="1" applyBorder="1" applyAlignment="1">
      <alignment vertical="center"/>
    </xf>
    <xf numFmtId="0" fontId="28" fillId="0" borderId="1" xfId="0" applyFont="1" applyFill="1" applyBorder="1" applyAlignment="1">
      <alignment horizontal="center" vertical="center"/>
    </xf>
    <xf numFmtId="0" fontId="28" fillId="0" borderId="27" xfId="0" applyFont="1" applyFill="1" applyBorder="1" applyAlignment="1">
      <alignment horizontal="center" vertical="center"/>
    </xf>
    <xf numFmtId="0" fontId="28" fillId="0" borderId="26" xfId="0" applyFont="1" applyFill="1" applyBorder="1" applyAlignment="1">
      <alignment horizontal="center" vertical="center"/>
    </xf>
    <xf numFmtId="0" fontId="28" fillId="0" borderId="28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28" fillId="0" borderId="35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/>
    </xf>
    <xf numFmtId="0" fontId="32" fillId="0" borderId="36" xfId="0" applyFont="1" applyFill="1" applyBorder="1" applyAlignment="1">
      <alignment horizontal="center" vertical="center"/>
    </xf>
    <xf numFmtId="0" fontId="27" fillId="0" borderId="26" xfId="0" applyFont="1" applyFill="1" applyBorder="1" applyAlignment="1">
      <alignment horizontal="center" vertical="center" wrapText="1"/>
    </xf>
    <xf numFmtId="0" fontId="30" fillId="0" borderId="29" xfId="0" applyFont="1" applyFill="1" applyBorder="1" applyAlignment="1">
      <alignment horizontal="center" vertical="center"/>
    </xf>
    <xf numFmtId="0" fontId="30" fillId="0" borderId="26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 vertical="center"/>
    </xf>
    <xf numFmtId="0" fontId="35" fillId="0" borderId="22" xfId="0" applyFont="1" applyFill="1" applyBorder="1" applyAlignment="1">
      <alignment horizontal="center" vertical="center"/>
    </xf>
    <xf numFmtId="0" fontId="27" fillId="2" borderId="25" xfId="0" applyFont="1" applyFill="1" applyBorder="1" applyAlignment="1">
      <alignment horizontal="center" vertical="center"/>
    </xf>
    <xf numFmtId="0" fontId="32" fillId="0" borderId="27" xfId="0" applyFont="1" applyFill="1" applyBorder="1" applyAlignment="1">
      <alignment horizontal="center" vertical="center"/>
    </xf>
    <xf numFmtId="0" fontId="35" fillId="0" borderId="21" xfId="0" applyFont="1" applyFill="1" applyBorder="1" applyAlignment="1">
      <alignment horizontal="center" vertical="center"/>
    </xf>
    <xf numFmtId="0" fontId="32" fillId="0" borderId="35" xfId="0" applyFont="1" applyFill="1" applyBorder="1" applyAlignment="1">
      <alignment horizontal="center" vertical="center"/>
    </xf>
    <xf numFmtId="0" fontId="28" fillId="0" borderId="35" xfId="0" applyFont="1" applyFill="1" applyBorder="1" applyAlignment="1">
      <alignment horizontal="center" vertical="center"/>
    </xf>
    <xf numFmtId="0" fontId="29" fillId="0" borderId="8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30" fillId="0" borderId="35" xfId="0" applyFont="1" applyFill="1" applyBorder="1" applyAlignment="1">
      <alignment horizontal="center" vertical="center"/>
    </xf>
    <xf numFmtId="0" fontId="27" fillId="0" borderId="12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32" fillId="0" borderId="37" xfId="0" applyFont="1" applyFill="1" applyBorder="1" applyAlignment="1">
      <alignment horizontal="center" vertical="center"/>
    </xf>
    <xf numFmtId="0" fontId="32" fillId="0" borderId="38" xfId="0" applyFont="1" applyFill="1" applyBorder="1" applyAlignment="1">
      <alignment horizontal="center" vertical="center"/>
    </xf>
    <xf numFmtId="0" fontId="32" fillId="0" borderId="12" xfId="0" applyFont="1" applyFill="1" applyBorder="1" applyAlignment="1">
      <alignment horizontal="center" vertical="center" wrapText="1"/>
    </xf>
    <xf numFmtId="0" fontId="28" fillId="0" borderId="29" xfId="0" applyFont="1" applyFill="1" applyBorder="1" applyAlignment="1">
      <alignment horizontal="center" vertical="center"/>
    </xf>
    <xf numFmtId="0" fontId="32" fillId="0" borderId="1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36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11" fillId="0" borderId="39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0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43" xfId="0" applyFont="1" applyFill="1" applyBorder="1" applyAlignment="1">
      <alignment horizontal="center" vertical="center" wrapText="1"/>
    </xf>
    <xf numFmtId="0" fontId="18" fillId="0" borderId="44" xfId="0" applyFont="1" applyFill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46" xfId="0" applyFont="1" applyFill="1" applyBorder="1" applyAlignment="1">
      <alignment horizontal="center" vertical="center" wrapText="1"/>
    </xf>
    <xf numFmtId="0" fontId="16" fillId="3" borderId="45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0" borderId="30" xfId="0" applyFont="1" applyFill="1" applyBorder="1" applyAlignment="1">
      <alignment horizontal="center" vertical="center" wrapText="1"/>
    </xf>
    <xf numFmtId="0" fontId="23" fillId="0" borderId="47" xfId="0" applyFont="1" applyFill="1" applyBorder="1" applyAlignment="1">
      <alignment horizontal="center" vertical="center" wrapText="1"/>
    </xf>
    <xf numFmtId="0" fontId="16" fillId="0" borderId="45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37" fillId="0" borderId="4" xfId="0" applyFont="1" applyFill="1" applyBorder="1" applyAlignment="1">
      <alignment horizontal="center" vertical="center" wrapText="1"/>
    </xf>
    <xf numFmtId="0" fontId="37" fillId="0" borderId="4" xfId="0" applyFont="1" applyFill="1" applyBorder="1" applyAlignment="1">
      <alignment horizontal="center" vertical="center"/>
    </xf>
    <xf numFmtId="0" fontId="37" fillId="5" borderId="4" xfId="0" applyFont="1" applyFill="1" applyBorder="1" applyAlignment="1">
      <alignment horizontal="center" vertical="center" wrapText="1"/>
    </xf>
    <xf numFmtId="0" fontId="37" fillId="6" borderId="4" xfId="0" applyFont="1" applyFill="1" applyBorder="1" applyAlignment="1">
      <alignment horizontal="center" vertical="center"/>
    </xf>
    <xf numFmtId="0" fontId="38" fillId="0" borderId="4" xfId="0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horizontal="center" vertical="center"/>
    </xf>
    <xf numFmtId="0" fontId="36" fillId="0" borderId="41" xfId="0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 wrapText="1"/>
    </xf>
    <xf numFmtId="0" fontId="36" fillId="0" borderId="43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 wrapText="1"/>
    </xf>
    <xf numFmtId="0" fontId="37" fillId="0" borderId="43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/>
    </xf>
    <xf numFmtId="0" fontId="37" fillId="9" borderId="1" xfId="0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 wrapText="1"/>
    </xf>
    <xf numFmtId="0" fontId="37" fillId="0" borderId="6" xfId="0" applyFont="1" applyFill="1" applyBorder="1" applyAlignment="1">
      <alignment horizontal="center" vertical="center" wrapText="1"/>
    </xf>
    <xf numFmtId="0" fontId="37" fillId="0" borderId="6" xfId="0" applyFont="1" applyFill="1" applyBorder="1" applyAlignment="1">
      <alignment horizontal="center" vertical="center"/>
    </xf>
    <xf numFmtId="0" fontId="37" fillId="3" borderId="6" xfId="0" applyFont="1" applyFill="1" applyBorder="1" applyAlignment="1">
      <alignment horizontal="center" vertical="center"/>
    </xf>
    <xf numFmtId="0" fontId="37" fillId="12" borderId="6" xfId="0" applyFont="1" applyFill="1" applyBorder="1" applyAlignment="1">
      <alignment horizontal="center" vertical="center"/>
    </xf>
    <xf numFmtId="0" fontId="38" fillId="0" borderId="6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9" borderId="6" xfId="0" applyFont="1" applyFill="1" applyBorder="1" applyAlignment="1">
      <alignment horizontal="center" vertical="center" wrapText="1"/>
    </xf>
    <xf numFmtId="0" fontId="36" fillId="0" borderId="48" xfId="0" applyFont="1" applyFill="1" applyBorder="1" applyAlignment="1">
      <alignment horizontal="center" vertical="center"/>
    </xf>
    <xf numFmtId="0" fontId="37" fillId="9" borderId="4" xfId="0" applyFont="1" applyFill="1" applyBorder="1" applyAlignment="1">
      <alignment horizontal="center" vertical="center" wrapText="1"/>
    </xf>
    <xf numFmtId="0" fontId="37" fillId="13" borderId="4" xfId="0" applyFont="1" applyFill="1" applyBorder="1" applyAlignment="1">
      <alignment horizontal="center" vertical="center" wrapText="1"/>
    </xf>
    <xf numFmtId="0" fontId="37" fillId="14" borderId="4" xfId="0" applyFont="1" applyFill="1" applyBorder="1" applyAlignment="1">
      <alignment horizontal="center" vertical="center" wrapText="1"/>
    </xf>
    <xf numFmtId="0" fontId="37" fillId="10" borderId="4" xfId="0" applyFont="1" applyFill="1" applyBorder="1" applyAlignment="1">
      <alignment horizontal="center" vertical="center"/>
    </xf>
    <xf numFmtId="0" fontId="39" fillId="4" borderId="4" xfId="0" applyFont="1" applyFill="1" applyBorder="1" applyAlignment="1">
      <alignment horizontal="center" vertical="center" wrapText="1"/>
    </xf>
    <xf numFmtId="0" fontId="37" fillId="10" borderId="4" xfId="0" applyFont="1" applyFill="1" applyBorder="1" applyAlignment="1">
      <alignment horizontal="center" vertical="center" wrapText="1"/>
    </xf>
    <xf numFmtId="0" fontId="37" fillId="0" borderId="41" xfId="0" applyFont="1" applyFill="1" applyBorder="1" applyAlignment="1">
      <alignment horizontal="center" vertical="center" wrapText="1"/>
    </xf>
    <xf numFmtId="0" fontId="37" fillId="13" borderId="1" xfId="0" applyFont="1" applyFill="1" applyBorder="1" applyAlignment="1">
      <alignment horizontal="center" vertical="center" wrapText="1"/>
    </xf>
    <xf numFmtId="0" fontId="37" fillId="14" borderId="1" xfId="0" applyFont="1" applyFill="1" applyBorder="1" applyAlignment="1">
      <alignment horizontal="center" vertical="center" wrapText="1"/>
    </xf>
    <xf numFmtId="0" fontId="37" fillId="0" borderId="43" xfId="0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40" fillId="13" borderId="1" xfId="0" applyFont="1" applyFill="1" applyBorder="1" applyAlignment="1">
      <alignment horizontal="center" vertical="center" wrapText="1"/>
    </xf>
    <xf numFmtId="0" fontId="40" fillId="15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39" fillId="16" borderId="1" xfId="0" applyFont="1" applyFill="1" applyBorder="1" applyAlignment="1">
      <alignment horizontal="center" vertical="center" wrapText="1"/>
    </xf>
    <xf numFmtId="0" fontId="37" fillId="16" borderId="1" xfId="0" applyFont="1" applyFill="1" applyBorder="1" applyAlignment="1">
      <alignment horizontal="center" vertical="center" wrapText="1"/>
    </xf>
    <xf numFmtId="0" fontId="40" fillId="14" borderId="1" xfId="0" applyFont="1" applyFill="1" applyBorder="1" applyAlignment="1">
      <alignment horizontal="center" vertical="center" wrapText="1"/>
    </xf>
    <xf numFmtId="0" fontId="39" fillId="0" borderId="1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vertical="center"/>
    </xf>
    <xf numFmtId="0" fontId="40" fillId="16" borderId="1" xfId="0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 wrapText="1"/>
    </xf>
    <xf numFmtId="0" fontId="39" fillId="18" borderId="1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wrapText="1"/>
    </xf>
    <xf numFmtId="0" fontId="37" fillId="18" borderId="1" xfId="0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/>
    </xf>
    <xf numFmtId="0" fontId="37" fillId="19" borderId="1" xfId="0" applyFont="1" applyFill="1" applyBorder="1" applyAlignment="1">
      <alignment horizontal="center" vertical="center" wrapText="1"/>
    </xf>
    <xf numFmtId="0" fontId="39" fillId="20" borderId="1" xfId="0" applyFont="1" applyFill="1" applyBorder="1" applyAlignment="1">
      <alignment horizontal="center" vertical="center" wrapText="1"/>
    </xf>
    <xf numFmtId="0" fontId="37" fillId="20" borderId="1" xfId="0" applyFont="1" applyFill="1" applyBorder="1" applyAlignment="1">
      <alignment horizontal="center" vertical="center" wrapText="1"/>
    </xf>
    <xf numFmtId="0" fontId="37" fillId="21" borderId="1" xfId="0" applyFont="1" applyFill="1" applyBorder="1" applyAlignment="1">
      <alignment horizontal="center" vertical="center"/>
    </xf>
    <xf numFmtId="0" fontId="37" fillId="21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39" fillId="21" borderId="1" xfId="0" applyFont="1" applyFill="1" applyBorder="1" applyAlignment="1">
      <alignment horizontal="center" vertical="center" wrapText="1"/>
    </xf>
    <xf numFmtId="0" fontId="39" fillId="19" borderId="1" xfId="0" applyFont="1" applyFill="1" applyBorder="1" applyAlignment="1">
      <alignment horizontal="center" vertical="center" wrapText="1"/>
    </xf>
    <xf numFmtId="0" fontId="37" fillId="20" borderId="1" xfId="0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 wrapText="1"/>
    </xf>
    <xf numFmtId="0" fontId="37" fillId="5" borderId="0" xfId="0" applyFont="1" applyFill="1" applyAlignment="1">
      <alignment horizontal="center" vertical="center"/>
    </xf>
    <xf numFmtId="0" fontId="37" fillId="22" borderId="1" xfId="0" applyFont="1" applyFill="1" applyBorder="1" applyAlignment="1">
      <alignment horizontal="center" vertical="center" wrapText="1"/>
    </xf>
    <xf numFmtId="0" fontId="40" fillId="8" borderId="1" xfId="0" applyFont="1" applyFill="1" applyBorder="1" applyAlignment="1">
      <alignment horizontal="center" vertical="center" wrapText="1"/>
    </xf>
    <xf numFmtId="0" fontId="40" fillId="10" borderId="1" xfId="0" applyFont="1" applyFill="1" applyBorder="1" applyAlignment="1">
      <alignment horizontal="center" vertical="center" wrapText="1"/>
    </xf>
    <xf numFmtId="0" fontId="40" fillId="22" borderId="1" xfId="0" applyFont="1" applyFill="1" applyBorder="1" applyAlignment="1">
      <alignment horizontal="center" vertical="center" wrapText="1"/>
    </xf>
    <xf numFmtId="0" fontId="40" fillId="9" borderId="1" xfId="0" applyFont="1" applyFill="1" applyBorder="1" applyAlignment="1">
      <alignment horizontal="center" vertical="center" wrapText="1"/>
    </xf>
    <xf numFmtId="0" fontId="40" fillId="12" borderId="1" xfId="0" applyFont="1" applyFill="1" applyBorder="1" applyAlignment="1">
      <alignment horizontal="center" vertical="center" wrapText="1"/>
    </xf>
    <xf numFmtId="0" fontId="18" fillId="0" borderId="45" xfId="0" applyFont="1" applyFill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center" vertical="center" wrapText="1"/>
    </xf>
    <xf numFmtId="0" fontId="40" fillId="9" borderId="8" xfId="0" applyFont="1" applyFill="1" applyBorder="1" applyAlignment="1">
      <alignment horizontal="center" vertical="center" wrapText="1"/>
    </xf>
    <xf numFmtId="0" fontId="37" fillId="22" borderId="8" xfId="0" applyFont="1" applyFill="1" applyBorder="1" applyAlignment="1">
      <alignment horizontal="center" vertical="center" wrapText="1"/>
    </xf>
    <xf numFmtId="0" fontId="37" fillId="12" borderId="8" xfId="0" applyFont="1" applyFill="1" applyBorder="1" applyAlignment="1">
      <alignment horizontal="center" vertical="center" wrapText="1"/>
    </xf>
    <xf numFmtId="0" fontId="37" fillId="5" borderId="8" xfId="0" applyFont="1" applyFill="1" applyBorder="1" applyAlignment="1">
      <alignment horizontal="center" vertical="center"/>
    </xf>
    <xf numFmtId="0" fontId="38" fillId="0" borderId="8" xfId="0" applyFont="1" applyFill="1" applyBorder="1" applyAlignment="1">
      <alignment horizontal="center" vertical="center" wrapText="1"/>
    </xf>
    <xf numFmtId="0" fontId="37" fillId="9" borderId="8" xfId="0" applyFont="1" applyFill="1" applyBorder="1" applyAlignment="1">
      <alignment horizontal="center" vertical="center" wrapText="1"/>
    </xf>
    <xf numFmtId="0" fontId="37" fillId="10" borderId="8" xfId="0" applyFont="1" applyFill="1" applyBorder="1" applyAlignment="1">
      <alignment horizontal="center" vertical="center" wrapText="1"/>
    </xf>
    <xf numFmtId="0" fontId="37" fillId="19" borderId="8" xfId="0" applyFont="1" applyFill="1" applyBorder="1" applyAlignment="1">
      <alignment horizontal="center" vertical="center" wrapText="1"/>
    </xf>
    <xf numFmtId="0" fontId="37" fillId="0" borderId="49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40" fillId="0" borderId="4" xfId="0" applyFont="1" applyFill="1" applyBorder="1" applyAlignment="1">
      <alignment horizontal="center" vertical="center" wrapText="1"/>
    </xf>
    <xf numFmtId="0" fontId="40" fillId="10" borderId="4" xfId="0" applyFont="1" applyFill="1" applyBorder="1" applyAlignment="1">
      <alignment horizontal="center" vertical="center" wrapText="1"/>
    </xf>
    <xf numFmtId="0" fontId="37" fillId="21" borderId="4" xfId="0" applyFont="1" applyFill="1" applyBorder="1" applyAlignment="1">
      <alignment horizontal="center" vertical="center" wrapText="1"/>
    </xf>
    <xf numFmtId="0" fontId="37" fillId="18" borderId="4" xfId="0" applyFont="1" applyFill="1" applyBorder="1" applyAlignment="1">
      <alignment horizontal="center" vertical="center" wrapText="1"/>
    </xf>
    <xf numFmtId="0" fontId="40" fillId="15" borderId="4" xfId="0" applyFont="1" applyFill="1" applyBorder="1" applyAlignment="1">
      <alignment horizontal="center" vertical="center" wrapText="1"/>
    </xf>
    <xf numFmtId="0" fontId="37" fillId="15" borderId="4" xfId="0" applyFont="1" applyFill="1" applyBorder="1" applyAlignment="1">
      <alignment horizontal="center" vertical="center" wrapText="1"/>
    </xf>
    <xf numFmtId="0" fontId="37" fillId="17" borderId="4" xfId="0" applyFont="1" applyFill="1" applyBorder="1" applyAlignment="1">
      <alignment horizontal="center" vertical="center" wrapText="1"/>
    </xf>
    <xf numFmtId="0" fontId="40" fillId="9" borderId="4" xfId="0" applyFont="1" applyFill="1" applyBorder="1" applyAlignment="1">
      <alignment horizontal="center" vertical="center" wrapText="1"/>
    </xf>
    <xf numFmtId="0" fontId="8" fillId="0" borderId="4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40" fillId="18" borderId="1" xfId="0" applyFont="1" applyFill="1" applyBorder="1" applyAlignment="1">
      <alignment horizontal="center" vertical="center" wrapText="1"/>
    </xf>
    <xf numFmtId="0" fontId="40" fillId="21" borderId="1" xfId="0" applyFont="1" applyFill="1" applyBorder="1" applyAlignment="1">
      <alignment horizontal="center" vertical="center" wrapText="1"/>
    </xf>
    <xf numFmtId="0" fontId="8" fillId="0" borderId="43" xfId="0" applyFont="1" applyFill="1" applyBorder="1" applyAlignment="1">
      <alignment horizontal="center" vertical="center"/>
    </xf>
    <xf numFmtId="0" fontId="40" fillId="17" borderId="1" xfId="0" applyFont="1" applyFill="1" applyBorder="1" applyAlignment="1">
      <alignment horizontal="center" vertical="center" wrapText="1"/>
    </xf>
    <xf numFmtId="0" fontId="40" fillId="21" borderId="1" xfId="0" applyFont="1" applyFill="1" applyBorder="1" applyAlignment="1">
      <alignment horizontal="center" vertical="center"/>
    </xf>
    <xf numFmtId="0" fontId="37" fillId="23" borderId="1" xfId="0" applyFont="1" applyFill="1" applyBorder="1" applyAlignment="1">
      <alignment horizontal="center" vertical="center" wrapText="1"/>
    </xf>
    <xf numFmtId="0" fontId="37" fillId="23" borderId="1" xfId="0" applyFont="1" applyFill="1" applyBorder="1" applyAlignment="1">
      <alignment horizontal="center" vertical="center"/>
    </xf>
    <xf numFmtId="0" fontId="40" fillId="23" borderId="1" xfId="0" applyFont="1" applyFill="1" applyBorder="1" applyAlignment="1">
      <alignment horizontal="center" vertical="center" wrapText="1"/>
    </xf>
    <xf numFmtId="0" fontId="37" fillId="24" borderId="1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0" fillId="24" borderId="1" xfId="0" applyFont="1" applyFill="1" applyBorder="1" applyAlignment="1">
      <alignment horizontal="center" vertical="center" wrapText="1"/>
    </xf>
    <xf numFmtId="0" fontId="37" fillId="18" borderId="1" xfId="0" applyFont="1" applyFill="1" applyBorder="1" applyAlignment="1">
      <alignment horizontal="center" vertical="center"/>
    </xf>
    <xf numFmtId="0" fontId="37" fillId="25" borderId="1" xfId="0" applyFont="1" applyFill="1" applyBorder="1" applyAlignment="1">
      <alignment horizontal="center" vertical="center" wrapText="1"/>
    </xf>
    <xf numFmtId="0" fontId="37" fillId="26" borderId="1" xfId="0" applyFont="1" applyFill="1" applyBorder="1" applyAlignment="1">
      <alignment horizontal="center" vertical="center" wrapText="1"/>
    </xf>
    <xf numFmtId="0" fontId="37" fillId="27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 wrapText="1"/>
    </xf>
    <xf numFmtId="0" fontId="40" fillId="27" borderId="1" xfId="0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center" vertical="center" wrapText="1"/>
    </xf>
    <xf numFmtId="0" fontId="37" fillId="28" borderId="1" xfId="0" applyFont="1" applyFill="1" applyBorder="1" applyAlignment="1">
      <alignment horizontal="center" vertical="center" wrapText="1"/>
    </xf>
    <xf numFmtId="0" fontId="37" fillId="28" borderId="1" xfId="0" applyFont="1" applyFill="1" applyBorder="1" applyAlignment="1">
      <alignment horizontal="center" vertical="center"/>
    </xf>
    <xf numFmtId="0" fontId="37" fillId="0" borderId="2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37" fillId="8" borderId="6" xfId="0" applyFont="1" applyFill="1" applyBorder="1" applyAlignment="1">
      <alignment horizontal="center" vertical="center" wrapText="1"/>
    </xf>
    <xf numFmtId="0" fontId="37" fillId="28" borderId="6" xfId="0" applyFont="1" applyFill="1" applyBorder="1" applyAlignment="1">
      <alignment horizontal="center" vertical="center" wrapText="1"/>
    </xf>
    <xf numFmtId="0" fontId="37" fillId="26" borderId="6" xfId="0" applyFont="1" applyFill="1" applyBorder="1" applyAlignment="1">
      <alignment horizontal="center" vertical="center" wrapText="1"/>
    </xf>
    <xf numFmtId="0" fontId="40" fillId="0" borderId="6" xfId="0" applyFont="1" applyFill="1" applyBorder="1" applyAlignment="1">
      <alignment horizontal="center" vertical="center"/>
    </xf>
    <xf numFmtId="0" fontId="40" fillId="0" borderId="6" xfId="0" applyFont="1" applyFill="1" applyBorder="1" applyAlignment="1">
      <alignment horizontal="center" vertical="center" wrapText="1"/>
    </xf>
    <xf numFmtId="0" fontId="37" fillId="18" borderId="6" xfId="0" applyFont="1" applyFill="1" applyBorder="1" applyAlignment="1">
      <alignment horizontal="center" vertical="center" wrapText="1"/>
    </xf>
    <xf numFmtId="0" fontId="37" fillId="27" borderId="6" xfId="0" applyFont="1" applyFill="1" applyBorder="1" applyAlignment="1">
      <alignment horizontal="center" vertical="center" wrapText="1"/>
    </xf>
    <xf numFmtId="0" fontId="40" fillId="9" borderId="6" xfId="0" applyFont="1" applyFill="1" applyBorder="1" applyAlignment="1">
      <alignment horizontal="center" vertical="center" wrapText="1"/>
    </xf>
    <xf numFmtId="0" fontId="8" fillId="0" borderId="48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50" xfId="0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52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48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1" fillId="0" borderId="53" xfId="0" applyFont="1" applyFill="1" applyBorder="1" applyAlignment="1">
      <alignment horizontal="center" vertical="center" wrapText="1"/>
    </xf>
    <xf numFmtId="0" fontId="15" fillId="0" borderId="54" xfId="0" applyFont="1" applyFill="1" applyBorder="1" applyAlignment="1">
      <alignment horizontal="center" vertical="center" wrapText="1"/>
    </xf>
    <xf numFmtId="0" fontId="16" fillId="0" borderId="55" xfId="0" applyFont="1" applyFill="1" applyBorder="1" applyAlignment="1">
      <alignment horizontal="center" vertical="center" wrapText="1"/>
    </xf>
    <xf numFmtId="0" fontId="16" fillId="0" borderId="56" xfId="0" applyFont="1" applyFill="1" applyBorder="1" applyAlignment="1">
      <alignment horizontal="center" vertical="center" wrapText="1"/>
    </xf>
    <xf numFmtId="0" fontId="36" fillId="0" borderId="47" xfId="0" applyFont="1" applyFill="1" applyBorder="1" applyAlignment="1">
      <alignment horizontal="center" vertical="center" wrapText="1"/>
    </xf>
    <xf numFmtId="0" fontId="43" fillId="0" borderId="56" xfId="0" applyFont="1" applyFill="1" applyBorder="1" applyAlignment="1">
      <alignment horizontal="center" vertical="center" wrapText="1"/>
    </xf>
    <xf numFmtId="0" fontId="16" fillId="0" borderId="57" xfId="0" applyFont="1" applyFill="1" applyBorder="1" applyAlignment="1">
      <alignment horizontal="center" vertical="center" wrapText="1"/>
    </xf>
    <xf numFmtId="0" fontId="16" fillId="0" borderId="47" xfId="0" applyFont="1" applyFill="1" applyBorder="1" applyAlignment="1">
      <alignment horizontal="center" vertical="center" wrapText="1"/>
    </xf>
    <xf numFmtId="0" fontId="18" fillId="0" borderId="50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center" vertical="center"/>
    </xf>
    <xf numFmtId="0" fontId="18" fillId="0" borderId="58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4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8" fillId="0" borderId="52" xfId="0" applyFont="1" applyFill="1" applyBorder="1" applyAlignment="1">
      <alignment horizontal="center" vertical="center" wrapText="1"/>
    </xf>
    <xf numFmtId="0" fontId="10" fillId="0" borderId="48" xfId="0" applyFont="1" applyFill="1" applyBorder="1" applyAlignment="1">
      <alignment horizontal="center" vertical="center"/>
    </xf>
    <xf numFmtId="0" fontId="8" fillId="0" borderId="59" xfId="0" applyFont="1" applyFill="1" applyBorder="1" applyAlignment="1">
      <alignment horizontal="center" vertical="center" wrapText="1"/>
    </xf>
    <xf numFmtId="0" fontId="44" fillId="0" borderId="15" xfId="0" applyFont="1" applyFill="1" applyBorder="1" applyAlignment="1">
      <alignment vertical="center" wrapText="1"/>
    </xf>
    <xf numFmtId="0" fontId="23" fillId="0" borderId="15" xfId="0" applyFont="1" applyFill="1" applyBorder="1" applyAlignment="1">
      <alignment horizontal="center" vertical="center" wrapText="1"/>
    </xf>
    <xf numFmtId="0" fontId="23" fillId="0" borderId="15" xfId="0" applyFont="1" applyFill="1" applyBorder="1" applyAlignment="1">
      <alignment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60" xfId="0" applyFont="1" applyFill="1" applyBorder="1" applyAlignment="1">
      <alignment horizontal="center" vertical="center" wrapText="1"/>
    </xf>
    <xf numFmtId="0" fontId="45" fillId="0" borderId="0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46" fillId="0" borderId="1" xfId="0" applyFont="1" applyFill="1" applyBorder="1" applyAlignment="1">
      <alignment horizontal="center" vertical="center"/>
    </xf>
    <xf numFmtId="0" fontId="47" fillId="29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0" borderId="4" xfId="0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 wrapText="1"/>
    </xf>
    <xf numFmtId="0" fontId="10" fillId="30" borderId="1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0" fontId="18" fillId="0" borderId="61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1" tint="0.149998474074526"/>
        </patternFill>
      </fill>
    </dxf>
    <dxf>
      <fill>
        <patternFill patternType="solid">
          <bgColor theme="7" tint="-0.499984740745262"/>
        </patternFill>
      </fill>
    </dxf>
    <dxf>
      <fill>
        <patternFill patternType="solid">
          <bgColor rgb="FF1F2DA8"/>
        </patternFill>
      </fill>
    </dxf>
    <dxf>
      <fill>
        <patternFill patternType="solid">
          <bgColor rgb="FF97C890"/>
        </patternFill>
      </fill>
    </dxf>
    <dxf>
      <fill>
        <patternFill patternType="solid">
          <bgColor rgb="FFC78B81"/>
        </patternFill>
      </fill>
    </dxf>
    <dxf>
      <fill>
        <patternFill patternType="solid">
          <bgColor rgb="FFFDE11C"/>
        </patternFill>
      </fill>
    </dxf>
  </dxfs>
  <tableStyles count="0" defaultTableStyle="TableStyleMedium2" defaultPivotStyle="PivotStyleLight16"/>
  <colors>
    <mruColors>
      <color rgb="00F96CDC"/>
      <color rgb="003FFBF0"/>
      <color rgb="00F888FD"/>
      <color rgb="00E974F4"/>
      <color rgb="00F369FC"/>
      <color rgb="000CF9FC"/>
      <color rgb="00FA69FC"/>
      <color rgb="00F768FC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31"/>
  <sheetViews>
    <sheetView zoomScale="70" zoomScaleNormal="70" workbookViewId="0">
      <pane ySplit="4" topLeftCell="A7" activePane="bottomLeft" state="frozen"/>
      <selection/>
      <selection pane="bottomLeft" activeCell="BK19" sqref="BK19"/>
    </sheetView>
  </sheetViews>
  <sheetFormatPr defaultColWidth="9" defaultRowHeight="12"/>
  <cols>
    <col min="1" max="1" width="11.875" style="10" customWidth="1"/>
    <col min="2" max="45" width="5" style="10" customWidth="1"/>
    <col min="46" max="56" width="9" style="355" customWidth="1"/>
    <col min="57" max="61" width="9" style="355"/>
    <col min="62" max="16384" width="9" style="10"/>
  </cols>
  <sheetData>
    <row r="1" ht="38.1" customHeight="1" spans="1:61">
      <c r="A1" s="158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322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356"/>
      <c r="AU1" s="356"/>
      <c r="AV1" s="356"/>
      <c r="AW1" s="356"/>
      <c r="AX1" s="356"/>
      <c r="AY1" s="356"/>
      <c r="AZ1" s="356"/>
      <c r="BA1" s="356"/>
      <c r="BB1" s="356"/>
      <c r="BC1" s="356"/>
      <c r="BD1" s="356"/>
      <c r="BE1" s="356"/>
      <c r="BF1" s="356"/>
      <c r="BG1" s="356"/>
      <c r="BH1" s="356"/>
      <c r="BI1" s="356"/>
    </row>
    <row r="2" s="2" customFormat="1" ht="21.95" customHeight="1" spans="1:61">
      <c r="A2" s="323" t="s">
        <v>1</v>
      </c>
      <c r="B2" s="160" t="s">
        <v>2</v>
      </c>
      <c r="C2" s="161"/>
      <c r="D2" s="161"/>
      <c r="E2" s="161"/>
      <c r="F2" s="161"/>
      <c r="G2" s="161"/>
      <c r="H2" s="161"/>
      <c r="I2" s="161"/>
      <c r="J2" s="163"/>
      <c r="K2" s="160" t="s">
        <v>3</v>
      </c>
      <c r="L2" s="161"/>
      <c r="M2" s="161"/>
      <c r="N2" s="161"/>
      <c r="O2" s="161"/>
      <c r="P2" s="161"/>
      <c r="Q2" s="161"/>
      <c r="R2" s="324"/>
      <c r="S2" s="163"/>
      <c r="T2" s="160" t="s">
        <v>4</v>
      </c>
      <c r="U2" s="161"/>
      <c r="V2" s="161"/>
      <c r="W2" s="161"/>
      <c r="X2" s="161"/>
      <c r="Y2" s="161"/>
      <c r="Z2" s="161"/>
      <c r="AA2" s="161"/>
      <c r="AB2" s="163"/>
      <c r="AC2" s="164" t="s">
        <v>5</v>
      </c>
      <c r="AD2" s="165"/>
      <c r="AE2" s="165"/>
      <c r="AF2" s="165"/>
      <c r="AG2" s="165"/>
      <c r="AH2" s="165"/>
      <c r="AI2" s="165"/>
      <c r="AJ2" s="165"/>
      <c r="AK2" s="166"/>
      <c r="AL2" s="325" t="s">
        <v>6</v>
      </c>
      <c r="AM2" s="165"/>
      <c r="AN2" s="165"/>
      <c r="AO2" s="165"/>
      <c r="AP2" s="165"/>
      <c r="AQ2" s="165"/>
      <c r="AR2" s="165"/>
      <c r="AS2" s="166"/>
      <c r="AT2" s="357"/>
      <c r="AU2" s="357"/>
      <c r="AV2" s="357"/>
      <c r="AW2" s="357"/>
      <c r="AX2" s="357"/>
      <c r="AY2" s="357"/>
      <c r="AZ2" s="357"/>
      <c r="BA2" s="357"/>
      <c r="BB2" s="357"/>
      <c r="BC2" s="357"/>
      <c r="BD2" s="357"/>
      <c r="BE2" s="357"/>
      <c r="BF2" s="357"/>
      <c r="BG2" s="357"/>
      <c r="BH2" s="357"/>
      <c r="BI2" s="357"/>
    </row>
    <row r="3" s="2" customFormat="1" ht="21.95" customHeight="1" spans="1:61">
      <c r="A3" s="326" t="s">
        <v>7</v>
      </c>
      <c r="B3" s="327" t="s">
        <v>8</v>
      </c>
      <c r="C3" s="328"/>
      <c r="D3" s="328"/>
      <c r="E3" s="328"/>
      <c r="F3" s="328"/>
      <c r="G3" s="328" t="s">
        <v>9</v>
      </c>
      <c r="H3" s="328"/>
      <c r="I3" s="328"/>
      <c r="J3" s="329"/>
      <c r="K3" s="327" t="s">
        <v>8</v>
      </c>
      <c r="L3" s="328"/>
      <c r="M3" s="328"/>
      <c r="N3" s="328"/>
      <c r="O3" s="328"/>
      <c r="P3" s="328" t="s">
        <v>9</v>
      </c>
      <c r="Q3" s="328"/>
      <c r="R3" s="330"/>
      <c r="S3" s="329"/>
      <c r="T3" s="327" t="s">
        <v>8</v>
      </c>
      <c r="U3" s="328"/>
      <c r="V3" s="328"/>
      <c r="W3" s="328"/>
      <c r="X3" s="328"/>
      <c r="Y3" s="328" t="s">
        <v>9</v>
      </c>
      <c r="Z3" s="328"/>
      <c r="AA3" s="328"/>
      <c r="AB3" s="329"/>
      <c r="AC3" s="327" t="s">
        <v>8</v>
      </c>
      <c r="AD3" s="328"/>
      <c r="AE3" s="328"/>
      <c r="AF3" s="328"/>
      <c r="AG3" s="328"/>
      <c r="AH3" s="328" t="s">
        <v>9</v>
      </c>
      <c r="AI3" s="328"/>
      <c r="AJ3" s="328"/>
      <c r="AK3" s="329"/>
      <c r="AL3" s="331" t="s">
        <v>8</v>
      </c>
      <c r="AM3" s="328"/>
      <c r="AN3" s="328"/>
      <c r="AO3" s="328"/>
      <c r="AP3" s="328"/>
      <c r="AQ3" s="328" t="s">
        <v>9</v>
      </c>
      <c r="AR3" s="328"/>
      <c r="AS3" s="329"/>
      <c r="AT3" s="100">
        <v>6</v>
      </c>
      <c r="AU3" s="100">
        <v>5</v>
      </c>
      <c r="AV3" s="100">
        <v>5</v>
      </c>
      <c r="AW3" s="100">
        <v>2</v>
      </c>
      <c r="AX3" s="100">
        <v>2</v>
      </c>
      <c r="AY3" s="100">
        <v>3</v>
      </c>
      <c r="AZ3" s="100">
        <v>3</v>
      </c>
      <c r="BA3" s="100">
        <v>3</v>
      </c>
      <c r="BB3" s="100">
        <v>1</v>
      </c>
      <c r="BC3" s="100">
        <v>1</v>
      </c>
      <c r="BD3" s="100">
        <v>1</v>
      </c>
      <c r="BE3" s="100">
        <v>0.5</v>
      </c>
      <c r="BF3" s="100">
        <v>1</v>
      </c>
      <c r="BG3" s="100">
        <v>1</v>
      </c>
      <c r="BH3" s="100">
        <v>1</v>
      </c>
      <c r="BI3" s="100">
        <v>2</v>
      </c>
    </row>
    <row r="4" s="26" customFormat="1" ht="47.1" customHeight="1" spans="1:61">
      <c r="A4" s="332" t="s">
        <v>10</v>
      </c>
      <c r="B4" s="333">
        <v>1</v>
      </c>
      <c r="C4" s="334">
        <v>2</v>
      </c>
      <c r="D4" s="334">
        <v>3</v>
      </c>
      <c r="E4" s="334">
        <v>4</v>
      </c>
      <c r="F4" s="334">
        <v>5</v>
      </c>
      <c r="G4" s="334">
        <v>6</v>
      </c>
      <c r="H4" s="334">
        <v>7</v>
      </c>
      <c r="I4" s="334">
        <v>8</v>
      </c>
      <c r="J4" s="335" t="s">
        <v>11</v>
      </c>
      <c r="K4" s="333">
        <v>1</v>
      </c>
      <c r="L4" s="334">
        <v>2</v>
      </c>
      <c r="M4" s="334">
        <v>3</v>
      </c>
      <c r="N4" s="334">
        <v>4</v>
      </c>
      <c r="O4" s="334">
        <v>5</v>
      </c>
      <c r="P4" s="334">
        <v>6</v>
      </c>
      <c r="Q4" s="334">
        <v>7</v>
      </c>
      <c r="R4" s="336">
        <v>8</v>
      </c>
      <c r="S4" s="335" t="s">
        <v>11</v>
      </c>
      <c r="T4" s="333">
        <v>1</v>
      </c>
      <c r="U4" s="334">
        <v>2</v>
      </c>
      <c r="V4" s="334">
        <v>3</v>
      </c>
      <c r="W4" s="334">
        <v>4</v>
      </c>
      <c r="X4" s="334">
        <v>5</v>
      </c>
      <c r="Y4" s="334">
        <v>6</v>
      </c>
      <c r="Z4" s="334">
        <v>7</v>
      </c>
      <c r="AA4" s="334">
        <v>8</v>
      </c>
      <c r="AB4" s="335" t="s">
        <v>11</v>
      </c>
      <c r="AC4" s="333">
        <v>1</v>
      </c>
      <c r="AD4" s="334">
        <v>2</v>
      </c>
      <c r="AE4" s="334">
        <v>3</v>
      </c>
      <c r="AF4" s="334">
        <v>4</v>
      </c>
      <c r="AG4" s="334">
        <v>5</v>
      </c>
      <c r="AH4" s="334">
        <v>6</v>
      </c>
      <c r="AI4" s="334">
        <v>7</v>
      </c>
      <c r="AJ4" s="334">
        <v>8</v>
      </c>
      <c r="AK4" s="335" t="s">
        <v>11</v>
      </c>
      <c r="AL4" s="337">
        <v>1</v>
      </c>
      <c r="AM4" s="334">
        <v>2</v>
      </c>
      <c r="AN4" s="334">
        <v>3</v>
      </c>
      <c r="AO4" s="334">
        <v>4</v>
      </c>
      <c r="AP4" s="334">
        <v>5</v>
      </c>
      <c r="AQ4" s="334">
        <v>6</v>
      </c>
      <c r="AR4" s="334">
        <v>7</v>
      </c>
      <c r="AS4" s="338">
        <v>8</v>
      </c>
      <c r="AT4" s="122" t="s">
        <v>12</v>
      </c>
      <c r="AU4" s="122" t="s">
        <v>13</v>
      </c>
      <c r="AV4" s="122" t="s">
        <v>14</v>
      </c>
      <c r="AW4" s="122" t="s">
        <v>15</v>
      </c>
      <c r="AX4" s="122" t="s">
        <v>16</v>
      </c>
      <c r="AY4" s="122" t="s">
        <v>17</v>
      </c>
      <c r="AZ4" s="122" t="s">
        <v>18</v>
      </c>
      <c r="BA4" s="122" t="s">
        <v>19</v>
      </c>
      <c r="BB4" s="122" t="s">
        <v>20</v>
      </c>
      <c r="BC4" s="122" t="s">
        <v>21</v>
      </c>
      <c r="BD4" s="122" t="s">
        <v>22</v>
      </c>
      <c r="BE4" s="122" t="s">
        <v>23</v>
      </c>
      <c r="BF4" s="122" t="s">
        <v>24</v>
      </c>
      <c r="BG4" s="122" t="s">
        <v>25</v>
      </c>
      <c r="BH4" s="122" t="s">
        <v>26</v>
      </c>
      <c r="BI4" s="122" t="s">
        <v>27</v>
      </c>
    </row>
    <row r="5" s="26" customFormat="1" ht="47.1" customHeight="1" spans="1:61">
      <c r="A5" s="339" t="s">
        <v>28</v>
      </c>
      <c r="B5" s="361" t="s">
        <v>29</v>
      </c>
      <c r="C5" s="24" t="s">
        <v>30</v>
      </c>
      <c r="D5" s="361" t="s">
        <v>12</v>
      </c>
      <c r="E5" s="24" t="s">
        <v>14</v>
      </c>
      <c r="F5" s="24" t="s">
        <v>31</v>
      </c>
      <c r="G5" s="24" t="s">
        <v>32</v>
      </c>
      <c r="H5" s="24" t="s">
        <v>33</v>
      </c>
      <c r="I5" s="340" t="s">
        <v>34</v>
      </c>
      <c r="J5" s="341"/>
      <c r="K5" s="361" t="s">
        <v>35</v>
      </c>
      <c r="L5" s="24" t="s">
        <v>14</v>
      </c>
      <c r="M5" s="24" t="s">
        <v>12</v>
      </c>
      <c r="N5" s="24" t="s">
        <v>12</v>
      </c>
      <c r="O5" s="340" t="s">
        <v>36</v>
      </c>
      <c r="P5" s="24" t="s">
        <v>32</v>
      </c>
      <c r="Q5" s="24" t="s">
        <v>32</v>
      </c>
      <c r="R5" s="340" t="s">
        <v>37</v>
      </c>
      <c r="S5" s="37"/>
      <c r="T5" s="24" t="s">
        <v>29</v>
      </c>
      <c r="U5" s="24" t="s">
        <v>33</v>
      </c>
      <c r="V5" s="24" t="s">
        <v>12</v>
      </c>
      <c r="W5" s="24" t="s">
        <v>14</v>
      </c>
      <c r="X5" s="24" t="s">
        <v>26</v>
      </c>
      <c r="Y5" s="24" t="s">
        <v>32</v>
      </c>
      <c r="Z5" s="24" t="s">
        <v>38</v>
      </c>
      <c r="AA5" s="24" t="s">
        <v>30</v>
      </c>
      <c r="AB5" s="37"/>
      <c r="AC5" s="24" t="s">
        <v>35</v>
      </c>
      <c r="AD5" s="360" t="s">
        <v>14</v>
      </c>
      <c r="AE5" s="361" t="s">
        <v>39</v>
      </c>
      <c r="AF5" s="24" t="s">
        <v>12</v>
      </c>
      <c r="AG5" s="24" t="s">
        <v>40</v>
      </c>
      <c r="AH5" s="24" t="s">
        <v>36</v>
      </c>
      <c r="AI5" s="24" t="s">
        <v>32</v>
      </c>
      <c r="AJ5" s="340" t="s">
        <v>41</v>
      </c>
      <c r="AK5" s="37"/>
      <c r="AL5" s="24" t="s">
        <v>42</v>
      </c>
      <c r="AM5" s="24" t="s">
        <v>32</v>
      </c>
      <c r="AN5" s="340" t="s">
        <v>43</v>
      </c>
      <c r="AO5" s="24" t="s">
        <v>14</v>
      </c>
      <c r="AP5" s="24" t="s">
        <v>29</v>
      </c>
      <c r="AQ5" s="24" t="s">
        <v>12</v>
      </c>
      <c r="AR5" s="24" t="s">
        <v>30</v>
      </c>
      <c r="AS5" s="24" t="s">
        <v>33</v>
      </c>
      <c r="AT5" s="358">
        <f t="shared" ref="AT5:AT30" si="0">COUNTIF(B5:AS5,"语")</f>
        <v>6</v>
      </c>
      <c r="AU5" s="358">
        <f t="shared" ref="AU5:AU30" si="1">COUNTIF(B5:AS5,"数")</f>
        <v>6</v>
      </c>
      <c r="AV5" s="358">
        <f t="shared" ref="AV5:AV30" si="2">COUNTIF(B5:AS5,"英")</f>
        <v>5</v>
      </c>
      <c r="AW5" s="358">
        <f t="shared" ref="AW5:AW30" si="3">COUNTIF(B5:AS5,"政")</f>
        <v>2</v>
      </c>
      <c r="AX5" s="358">
        <f t="shared" ref="AX5:AX30" si="4">COUNTIF(B5:AS5,"历")</f>
        <v>2</v>
      </c>
      <c r="AY5" s="358">
        <f t="shared" ref="AY5:AY30" si="5">COUNTIF(B5:AS5,"地")</f>
        <v>3</v>
      </c>
      <c r="AZ5" s="358">
        <f t="shared" ref="AZ5:AZ30" si="6">COUNTIF(B5:AS5,"生")</f>
        <v>3</v>
      </c>
      <c r="BA5" s="358">
        <f t="shared" ref="BA5:BA30" si="7">COUNTIF(B5:AS5,"体")</f>
        <v>3</v>
      </c>
      <c r="BB5" s="358">
        <f t="shared" ref="BB5:BB30" si="8">COUNTIF(B5:AS5,"音")</f>
        <v>1</v>
      </c>
      <c r="BC5" s="358">
        <f t="shared" ref="BC5:BC30" si="9">COUNTIF(B5:AS5,"美")</f>
        <v>1</v>
      </c>
      <c r="BD5" s="358">
        <f t="shared" ref="BD5:BD30" si="10">COUNTIF(B5:AS5,"信")</f>
        <v>1</v>
      </c>
      <c r="BE5" s="358">
        <f t="shared" ref="BE5:BE30" si="11">COUNTIF(B5:AS5,"心综")</f>
        <v>1</v>
      </c>
      <c r="BF5" s="358">
        <f t="shared" ref="BF5:BF30" si="12">COUNTIF(B5:AS5,"班")</f>
        <v>1</v>
      </c>
      <c r="BG5" s="358">
        <f t="shared" ref="BG5:BG30" si="13">COUNTIF(B5:AS5,"劳")</f>
        <v>1</v>
      </c>
      <c r="BH5" s="358">
        <f t="shared" ref="BH5:BH30" si="14">COUNTIF(B5:AS5,"听说")</f>
        <v>1</v>
      </c>
      <c r="BI5" s="358">
        <f t="shared" ref="BI5:BI30" si="15">COUNTIF(B5:AS5,"综实")</f>
        <v>0</v>
      </c>
    </row>
    <row r="6" s="26" customFormat="1" ht="47.1" customHeight="1" spans="1:61">
      <c r="A6" s="343" t="s">
        <v>44</v>
      </c>
      <c r="B6" s="25" t="s">
        <v>14</v>
      </c>
      <c r="C6" s="25" t="s">
        <v>12</v>
      </c>
      <c r="D6" s="25" t="s">
        <v>30</v>
      </c>
      <c r="E6" s="25" t="s">
        <v>32</v>
      </c>
      <c r="F6" s="25" t="s">
        <v>45</v>
      </c>
      <c r="G6" s="25" t="s">
        <v>33</v>
      </c>
      <c r="H6" s="12" t="s">
        <v>43</v>
      </c>
      <c r="I6" s="344" t="s">
        <v>34</v>
      </c>
      <c r="J6" s="37"/>
      <c r="K6" s="25" t="s">
        <v>32</v>
      </c>
      <c r="L6" s="360" t="s">
        <v>29</v>
      </c>
      <c r="M6" s="361" t="s">
        <v>35</v>
      </c>
      <c r="N6" s="25" t="s">
        <v>14</v>
      </c>
      <c r="O6" s="25" t="s">
        <v>26</v>
      </c>
      <c r="P6" s="25" t="s">
        <v>12</v>
      </c>
      <c r="Q6" s="25" t="s">
        <v>12</v>
      </c>
      <c r="R6" s="344" t="s">
        <v>37</v>
      </c>
      <c r="S6" s="37"/>
      <c r="T6" s="25" t="s">
        <v>14</v>
      </c>
      <c r="U6" s="360" t="s">
        <v>39</v>
      </c>
      <c r="V6" s="25" t="s">
        <v>33</v>
      </c>
      <c r="W6" s="360" t="s">
        <v>36</v>
      </c>
      <c r="X6" s="25" t="s">
        <v>12</v>
      </c>
      <c r="Y6" s="360" t="s">
        <v>31</v>
      </c>
      <c r="Z6" s="24" t="s">
        <v>30</v>
      </c>
      <c r="AA6" s="25" t="s">
        <v>32</v>
      </c>
      <c r="AB6" s="37"/>
      <c r="AC6" s="25" t="s">
        <v>12</v>
      </c>
      <c r="AD6" s="25" t="s">
        <v>32</v>
      </c>
      <c r="AE6" s="25" t="s">
        <v>45</v>
      </c>
      <c r="AF6" s="25" t="s">
        <v>14</v>
      </c>
      <c r="AG6" s="25" t="s">
        <v>30</v>
      </c>
      <c r="AH6" s="25" t="s">
        <v>29</v>
      </c>
      <c r="AI6" s="360" t="s">
        <v>35</v>
      </c>
      <c r="AJ6" s="344" t="s">
        <v>41</v>
      </c>
      <c r="AK6" s="37"/>
      <c r="AL6" s="25" t="s">
        <v>29</v>
      </c>
      <c r="AM6" s="25" t="s">
        <v>38</v>
      </c>
      <c r="AN6" s="24" t="s">
        <v>32</v>
      </c>
      <c r="AO6" s="25" t="s">
        <v>40</v>
      </c>
      <c r="AP6" s="25" t="s">
        <v>14</v>
      </c>
      <c r="AQ6" s="25" t="s">
        <v>36</v>
      </c>
      <c r="AR6" s="25" t="s">
        <v>33</v>
      </c>
      <c r="AS6" s="25" t="s">
        <v>12</v>
      </c>
      <c r="AT6" s="358">
        <f t="shared" si="0"/>
        <v>6</v>
      </c>
      <c r="AU6" s="358">
        <f t="shared" si="1"/>
        <v>5</v>
      </c>
      <c r="AV6" s="358">
        <f t="shared" si="2"/>
        <v>5</v>
      </c>
      <c r="AW6" s="358">
        <f t="shared" si="3"/>
        <v>2</v>
      </c>
      <c r="AX6" s="358">
        <f t="shared" si="4"/>
        <v>2</v>
      </c>
      <c r="AY6" s="358">
        <f t="shared" si="5"/>
        <v>3</v>
      </c>
      <c r="AZ6" s="358">
        <f t="shared" si="6"/>
        <v>3</v>
      </c>
      <c r="BA6" s="358">
        <f t="shared" si="7"/>
        <v>3</v>
      </c>
      <c r="BB6" s="358">
        <f t="shared" si="8"/>
        <v>1</v>
      </c>
      <c r="BC6" s="358">
        <f t="shared" si="9"/>
        <v>1</v>
      </c>
      <c r="BD6" s="358">
        <f t="shared" si="10"/>
        <v>1</v>
      </c>
      <c r="BE6" s="358">
        <f t="shared" si="11"/>
        <v>1</v>
      </c>
      <c r="BF6" s="358">
        <f t="shared" si="12"/>
        <v>1</v>
      </c>
      <c r="BG6" s="358">
        <f t="shared" si="13"/>
        <v>1</v>
      </c>
      <c r="BH6" s="358">
        <f t="shared" si="14"/>
        <v>1</v>
      </c>
      <c r="BI6" s="358">
        <f t="shared" si="15"/>
        <v>0</v>
      </c>
    </row>
    <row r="7" s="26" customFormat="1" ht="47.1" customHeight="1" spans="1:61">
      <c r="A7" s="343" t="s">
        <v>46</v>
      </c>
      <c r="B7" s="25" t="s">
        <v>33</v>
      </c>
      <c r="C7" s="25" t="s">
        <v>36</v>
      </c>
      <c r="D7" s="25" t="s">
        <v>35</v>
      </c>
      <c r="E7" s="25" t="s">
        <v>32</v>
      </c>
      <c r="F7" s="25" t="s">
        <v>38</v>
      </c>
      <c r="G7" s="25" t="s">
        <v>14</v>
      </c>
      <c r="H7" s="25" t="s">
        <v>12</v>
      </c>
      <c r="I7" s="344" t="s">
        <v>34</v>
      </c>
      <c r="J7" s="12"/>
      <c r="K7" s="25" t="s">
        <v>29</v>
      </c>
      <c r="L7" s="25" t="s">
        <v>14</v>
      </c>
      <c r="M7" s="360" t="s">
        <v>47</v>
      </c>
      <c r="N7" s="362" t="s">
        <v>32</v>
      </c>
      <c r="O7" s="362" t="s">
        <v>33</v>
      </c>
      <c r="P7" s="25" t="s">
        <v>12</v>
      </c>
      <c r="Q7" s="25" t="s">
        <v>12</v>
      </c>
      <c r="R7" s="344" t="s">
        <v>37</v>
      </c>
      <c r="S7" s="12"/>
      <c r="T7" s="12" t="s">
        <v>39</v>
      </c>
      <c r="U7" s="25" t="s">
        <v>29</v>
      </c>
      <c r="V7" s="25" t="s">
        <v>14</v>
      </c>
      <c r="W7" s="25" t="s">
        <v>30</v>
      </c>
      <c r="X7" s="25" t="s">
        <v>12</v>
      </c>
      <c r="Y7" s="25" t="s">
        <v>36</v>
      </c>
      <c r="Z7" s="25" t="s">
        <v>32</v>
      </c>
      <c r="AA7" s="25" t="s">
        <v>35</v>
      </c>
      <c r="AB7" s="37"/>
      <c r="AC7" s="25" t="s">
        <v>33</v>
      </c>
      <c r="AD7" s="25" t="s">
        <v>12</v>
      </c>
      <c r="AE7" s="25" t="s">
        <v>30</v>
      </c>
      <c r="AF7" s="25" t="s">
        <v>32</v>
      </c>
      <c r="AG7" s="25" t="s">
        <v>47</v>
      </c>
      <c r="AH7" s="25" t="s">
        <v>14</v>
      </c>
      <c r="AI7" s="25" t="s">
        <v>26</v>
      </c>
      <c r="AJ7" s="344" t="s">
        <v>41</v>
      </c>
      <c r="AK7" s="12"/>
      <c r="AL7" s="25" t="s">
        <v>43</v>
      </c>
      <c r="AM7" s="25" t="s">
        <v>31</v>
      </c>
      <c r="AN7" s="25" t="s">
        <v>32</v>
      </c>
      <c r="AO7" s="25" t="s">
        <v>14</v>
      </c>
      <c r="AP7" s="25" t="s">
        <v>30</v>
      </c>
      <c r="AQ7" s="25" t="s">
        <v>40</v>
      </c>
      <c r="AR7" s="25" t="s">
        <v>29</v>
      </c>
      <c r="AS7" s="25" t="s">
        <v>12</v>
      </c>
      <c r="AT7" s="358">
        <f t="shared" si="0"/>
        <v>6</v>
      </c>
      <c r="AU7" s="358">
        <f t="shared" si="1"/>
        <v>5</v>
      </c>
      <c r="AV7" s="358">
        <f t="shared" si="2"/>
        <v>5</v>
      </c>
      <c r="AW7" s="358">
        <f t="shared" si="3"/>
        <v>2</v>
      </c>
      <c r="AX7" s="358">
        <f t="shared" si="4"/>
        <v>2</v>
      </c>
      <c r="AY7" s="358">
        <f t="shared" si="5"/>
        <v>3</v>
      </c>
      <c r="AZ7" s="358">
        <f t="shared" si="6"/>
        <v>3</v>
      </c>
      <c r="BA7" s="358">
        <f t="shared" si="7"/>
        <v>3</v>
      </c>
      <c r="BB7" s="358">
        <f t="shared" si="8"/>
        <v>1</v>
      </c>
      <c r="BC7" s="358">
        <f t="shared" si="9"/>
        <v>1</v>
      </c>
      <c r="BD7" s="358">
        <f t="shared" si="10"/>
        <v>1</v>
      </c>
      <c r="BE7" s="358">
        <f t="shared" si="11"/>
        <v>1</v>
      </c>
      <c r="BF7" s="358">
        <f t="shared" si="12"/>
        <v>1</v>
      </c>
      <c r="BG7" s="358">
        <f t="shared" si="13"/>
        <v>1</v>
      </c>
      <c r="BH7" s="358">
        <f t="shared" si="14"/>
        <v>1</v>
      </c>
      <c r="BI7" s="358">
        <f t="shared" si="15"/>
        <v>0</v>
      </c>
    </row>
    <row r="8" s="26" customFormat="1" ht="47.1" customHeight="1" spans="1:61">
      <c r="A8" s="343" t="s">
        <v>48</v>
      </c>
      <c r="B8" s="25" t="s">
        <v>32</v>
      </c>
      <c r="C8" s="25" t="s">
        <v>31</v>
      </c>
      <c r="D8" s="25" t="s">
        <v>12</v>
      </c>
      <c r="E8" s="25" t="s">
        <v>29</v>
      </c>
      <c r="F8" s="25" t="s">
        <v>33</v>
      </c>
      <c r="G8" s="25" t="s">
        <v>30</v>
      </c>
      <c r="H8" s="25" t="s">
        <v>14</v>
      </c>
      <c r="I8" s="344" t="s">
        <v>34</v>
      </c>
      <c r="J8" s="12"/>
      <c r="K8" s="25" t="s">
        <v>12</v>
      </c>
      <c r="L8" s="25" t="s">
        <v>12</v>
      </c>
      <c r="M8" s="25" t="s">
        <v>29</v>
      </c>
      <c r="N8" s="25" t="s">
        <v>14</v>
      </c>
      <c r="O8" s="362" t="s">
        <v>35</v>
      </c>
      <c r="P8" s="25" t="s">
        <v>32</v>
      </c>
      <c r="Q8" s="25" t="s">
        <v>47</v>
      </c>
      <c r="R8" s="344" t="s">
        <v>37</v>
      </c>
      <c r="S8" s="12"/>
      <c r="T8" s="25" t="s">
        <v>14</v>
      </c>
      <c r="U8" s="25" t="s">
        <v>30</v>
      </c>
      <c r="V8" s="25" t="s">
        <v>12</v>
      </c>
      <c r="W8" s="360" t="s">
        <v>43</v>
      </c>
      <c r="X8" s="25" t="s">
        <v>40</v>
      </c>
      <c r="Y8" s="25" t="s">
        <v>33</v>
      </c>
      <c r="Z8" s="12" t="s">
        <v>36</v>
      </c>
      <c r="AA8" s="25" t="s">
        <v>32</v>
      </c>
      <c r="AB8" s="37"/>
      <c r="AC8" s="25" t="s">
        <v>32</v>
      </c>
      <c r="AD8" s="25" t="s">
        <v>47</v>
      </c>
      <c r="AE8" s="25" t="s">
        <v>14</v>
      </c>
      <c r="AF8" s="25" t="s">
        <v>26</v>
      </c>
      <c r="AG8" s="25" t="s">
        <v>39</v>
      </c>
      <c r="AH8" s="25" t="s">
        <v>12</v>
      </c>
      <c r="AI8" s="25" t="s">
        <v>30</v>
      </c>
      <c r="AJ8" s="344" t="s">
        <v>41</v>
      </c>
      <c r="AK8" s="37"/>
      <c r="AL8" s="25" t="s">
        <v>32</v>
      </c>
      <c r="AM8" s="25" t="s">
        <v>35</v>
      </c>
      <c r="AN8" s="25" t="s">
        <v>14</v>
      </c>
      <c r="AO8" s="25" t="s">
        <v>33</v>
      </c>
      <c r="AP8" s="25" t="s">
        <v>38</v>
      </c>
      <c r="AQ8" s="25" t="s">
        <v>12</v>
      </c>
      <c r="AR8" s="25" t="s">
        <v>36</v>
      </c>
      <c r="AS8" s="25" t="s">
        <v>29</v>
      </c>
      <c r="AT8" s="358">
        <f t="shared" si="0"/>
        <v>6</v>
      </c>
      <c r="AU8" s="358">
        <f t="shared" si="1"/>
        <v>5</v>
      </c>
      <c r="AV8" s="358">
        <f t="shared" si="2"/>
        <v>5</v>
      </c>
      <c r="AW8" s="358">
        <f t="shared" si="3"/>
        <v>2</v>
      </c>
      <c r="AX8" s="358">
        <f t="shared" si="4"/>
        <v>2</v>
      </c>
      <c r="AY8" s="358">
        <f t="shared" si="5"/>
        <v>3</v>
      </c>
      <c r="AZ8" s="358">
        <f t="shared" si="6"/>
        <v>3</v>
      </c>
      <c r="BA8" s="358">
        <f t="shared" si="7"/>
        <v>3</v>
      </c>
      <c r="BB8" s="358">
        <f t="shared" si="8"/>
        <v>1</v>
      </c>
      <c r="BC8" s="358">
        <f t="shared" si="9"/>
        <v>1</v>
      </c>
      <c r="BD8" s="358">
        <f t="shared" si="10"/>
        <v>1</v>
      </c>
      <c r="BE8" s="358">
        <f t="shared" si="11"/>
        <v>1</v>
      </c>
      <c r="BF8" s="358">
        <f t="shared" si="12"/>
        <v>1</v>
      </c>
      <c r="BG8" s="358">
        <f t="shared" si="13"/>
        <v>1</v>
      </c>
      <c r="BH8" s="358">
        <f t="shared" si="14"/>
        <v>1</v>
      </c>
      <c r="BI8" s="358">
        <f t="shared" si="15"/>
        <v>0</v>
      </c>
    </row>
    <row r="9" s="26" customFormat="1" ht="47.1" customHeight="1" spans="1:61">
      <c r="A9" s="343" t="s">
        <v>49</v>
      </c>
      <c r="B9" s="25" t="s">
        <v>35</v>
      </c>
      <c r="C9" s="25" t="s">
        <v>12</v>
      </c>
      <c r="D9" s="25" t="s">
        <v>14</v>
      </c>
      <c r="E9" s="25" t="s">
        <v>33</v>
      </c>
      <c r="F9" s="25" t="s">
        <v>29</v>
      </c>
      <c r="G9" s="25" t="s">
        <v>32</v>
      </c>
      <c r="H9" s="25" t="s">
        <v>30</v>
      </c>
      <c r="I9" s="344" t="s">
        <v>34</v>
      </c>
      <c r="J9" s="12"/>
      <c r="K9" s="25" t="s">
        <v>29</v>
      </c>
      <c r="L9" s="25" t="s">
        <v>12</v>
      </c>
      <c r="M9" s="25" t="s">
        <v>32</v>
      </c>
      <c r="N9" s="25" t="s">
        <v>50</v>
      </c>
      <c r="O9" s="344" t="s">
        <v>39</v>
      </c>
      <c r="P9" s="25" t="s">
        <v>14</v>
      </c>
      <c r="Q9" s="25" t="s">
        <v>26</v>
      </c>
      <c r="R9" s="344" t="s">
        <v>37</v>
      </c>
      <c r="S9" s="12"/>
      <c r="T9" s="25" t="s">
        <v>36</v>
      </c>
      <c r="U9" s="25" t="s">
        <v>14</v>
      </c>
      <c r="V9" s="25" t="s">
        <v>38</v>
      </c>
      <c r="W9" s="25" t="s">
        <v>12</v>
      </c>
      <c r="X9" s="25" t="s">
        <v>12</v>
      </c>
      <c r="Y9" s="25" t="s">
        <v>32</v>
      </c>
      <c r="Z9" s="25" t="s">
        <v>35</v>
      </c>
      <c r="AA9" s="25" t="s">
        <v>30</v>
      </c>
      <c r="AB9" s="12"/>
      <c r="AC9" s="25" t="s">
        <v>43</v>
      </c>
      <c r="AD9" s="12" t="s">
        <v>30</v>
      </c>
      <c r="AE9" s="25" t="s">
        <v>12</v>
      </c>
      <c r="AF9" s="25" t="s">
        <v>14</v>
      </c>
      <c r="AG9" s="25" t="s">
        <v>33</v>
      </c>
      <c r="AH9" s="25" t="s">
        <v>32</v>
      </c>
      <c r="AI9" s="25" t="s">
        <v>40</v>
      </c>
      <c r="AJ9" s="344" t="s">
        <v>41</v>
      </c>
      <c r="AK9" s="37"/>
      <c r="AL9" s="25" t="s">
        <v>32</v>
      </c>
      <c r="AM9" s="25" t="s">
        <v>50</v>
      </c>
      <c r="AN9" s="25" t="s">
        <v>31</v>
      </c>
      <c r="AO9" s="25" t="s">
        <v>14</v>
      </c>
      <c r="AP9" s="25" t="s">
        <v>29</v>
      </c>
      <c r="AQ9" s="25" t="s">
        <v>33</v>
      </c>
      <c r="AR9" s="25" t="s">
        <v>12</v>
      </c>
      <c r="AS9" s="25" t="s">
        <v>36</v>
      </c>
      <c r="AT9" s="358">
        <f t="shared" si="0"/>
        <v>6</v>
      </c>
      <c r="AU9" s="358">
        <f t="shared" si="1"/>
        <v>5</v>
      </c>
      <c r="AV9" s="358">
        <f t="shared" si="2"/>
        <v>5</v>
      </c>
      <c r="AW9" s="358">
        <f t="shared" si="3"/>
        <v>2</v>
      </c>
      <c r="AX9" s="358">
        <f t="shared" si="4"/>
        <v>2</v>
      </c>
      <c r="AY9" s="358">
        <f t="shared" si="5"/>
        <v>3</v>
      </c>
      <c r="AZ9" s="358">
        <f t="shared" si="6"/>
        <v>3</v>
      </c>
      <c r="BA9" s="358">
        <f t="shared" si="7"/>
        <v>3</v>
      </c>
      <c r="BB9" s="358">
        <f t="shared" si="8"/>
        <v>1</v>
      </c>
      <c r="BC9" s="358">
        <f t="shared" si="9"/>
        <v>1</v>
      </c>
      <c r="BD9" s="358">
        <f t="shared" si="10"/>
        <v>1</v>
      </c>
      <c r="BE9" s="358">
        <f t="shared" si="11"/>
        <v>1</v>
      </c>
      <c r="BF9" s="358">
        <f t="shared" si="12"/>
        <v>1</v>
      </c>
      <c r="BG9" s="358">
        <f t="shared" si="13"/>
        <v>1</v>
      </c>
      <c r="BH9" s="358">
        <f t="shared" si="14"/>
        <v>1</v>
      </c>
      <c r="BI9" s="358">
        <f t="shared" si="15"/>
        <v>0</v>
      </c>
    </row>
    <row r="10" s="26" customFormat="1" ht="47.1" customHeight="1" spans="1:61">
      <c r="A10" s="343" t="s">
        <v>51</v>
      </c>
      <c r="B10" s="367" t="s">
        <v>40</v>
      </c>
      <c r="C10" s="25" t="s">
        <v>29</v>
      </c>
      <c r="D10" s="25" t="s">
        <v>12</v>
      </c>
      <c r="E10" s="25" t="s">
        <v>32</v>
      </c>
      <c r="F10" s="25" t="s">
        <v>35</v>
      </c>
      <c r="G10" s="25" t="s">
        <v>14</v>
      </c>
      <c r="H10" s="25" t="s">
        <v>36</v>
      </c>
      <c r="I10" s="344" t="s">
        <v>34</v>
      </c>
      <c r="J10" s="12"/>
      <c r="K10" s="25" t="s">
        <v>14</v>
      </c>
      <c r="L10" s="25" t="s">
        <v>26</v>
      </c>
      <c r="M10" s="360" t="s">
        <v>33</v>
      </c>
      <c r="N10" s="25" t="s">
        <v>12</v>
      </c>
      <c r="O10" s="360" t="s">
        <v>29</v>
      </c>
      <c r="P10" s="25" t="s">
        <v>32</v>
      </c>
      <c r="Q10" s="25" t="s">
        <v>50</v>
      </c>
      <c r="R10" s="344" t="s">
        <v>37</v>
      </c>
      <c r="S10" s="12"/>
      <c r="T10" s="25" t="s">
        <v>12</v>
      </c>
      <c r="U10" s="25" t="s">
        <v>12</v>
      </c>
      <c r="V10" s="25" t="s">
        <v>14</v>
      </c>
      <c r="W10" s="25" t="s">
        <v>30</v>
      </c>
      <c r="X10" s="25" t="s">
        <v>36</v>
      </c>
      <c r="Y10" s="25" t="s">
        <v>35</v>
      </c>
      <c r="Z10" s="360" t="s">
        <v>31</v>
      </c>
      <c r="AA10" s="25" t="s">
        <v>32</v>
      </c>
      <c r="AB10" s="12"/>
      <c r="AC10" s="25" t="s">
        <v>39</v>
      </c>
      <c r="AD10" s="25" t="s">
        <v>12</v>
      </c>
      <c r="AE10" s="25" t="s">
        <v>30</v>
      </c>
      <c r="AF10" s="25" t="s">
        <v>33</v>
      </c>
      <c r="AG10" s="25" t="s">
        <v>14</v>
      </c>
      <c r="AH10" s="25" t="s">
        <v>29</v>
      </c>
      <c r="AI10" s="25" t="s">
        <v>32</v>
      </c>
      <c r="AJ10" s="344" t="s">
        <v>41</v>
      </c>
      <c r="AK10" s="12"/>
      <c r="AL10" s="25" t="s">
        <v>33</v>
      </c>
      <c r="AM10" s="25" t="s">
        <v>30</v>
      </c>
      <c r="AN10" s="25" t="s">
        <v>38</v>
      </c>
      <c r="AO10" s="25" t="s">
        <v>32</v>
      </c>
      <c r="AP10" s="25" t="s">
        <v>50</v>
      </c>
      <c r="AQ10" s="25" t="s">
        <v>43</v>
      </c>
      <c r="AR10" s="25" t="s">
        <v>14</v>
      </c>
      <c r="AS10" s="25" t="s">
        <v>12</v>
      </c>
      <c r="AT10" s="358">
        <f t="shared" si="0"/>
        <v>6</v>
      </c>
      <c r="AU10" s="358">
        <f t="shared" si="1"/>
        <v>5</v>
      </c>
      <c r="AV10" s="358">
        <f t="shared" si="2"/>
        <v>5</v>
      </c>
      <c r="AW10" s="358">
        <f t="shared" si="3"/>
        <v>2</v>
      </c>
      <c r="AX10" s="358">
        <f t="shared" si="4"/>
        <v>2</v>
      </c>
      <c r="AY10" s="358">
        <f t="shared" si="5"/>
        <v>3</v>
      </c>
      <c r="AZ10" s="358">
        <f t="shared" si="6"/>
        <v>3</v>
      </c>
      <c r="BA10" s="358">
        <f t="shared" si="7"/>
        <v>3</v>
      </c>
      <c r="BB10" s="358">
        <f t="shared" si="8"/>
        <v>1</v>
      </c>
      <c r="BC10" s="358">
        <f t="shared" si="9"/>
        <v>1</v>
      </c>
      <c r="BD10" s="358">
        <f t="shared" si="10"/>
        <v>1</v>
      </c>
      <c r="BE10" s="358">
        <f t="shared" si="11"/>
        <v>1</v>
      </c>
      <c r="BF10" s="358">
        <f t="shared" si="12"/>
        <v>1</v>
      </c>
      <c r="BG10" s="358">
        <f t="shared" si="13"/>
        <v>1</v>
      </c>
      <c r="BH10" s="358">
        <f t="shared" si="14"/>
        <v>1</v>
      </c>
      <c r="BI10" s="358">
        <f t="shared" si="15"/>
        <v>0</v>
      </c>
    </row>
    <row r="11" s="26" customFormat="1" ht="47.1" customHeight="1" spans="1:61">
      <c r="A11" s="343" t="s">
        <v>52</v>
      </c>
      <c r="B11" s="25" t="s">
        <v>29</v>
      </c>
      <c r="C11" s="25" t="s">
        <v>36</v>
      </c>
      <c r="D11" s="25" t="s">
        <v>12</v>
      </c>
      <c r="E11" s="25" t="s">
        <v>33</v>
      </c>
      <c r="F11" s="25" t="s">
        <v>14</v>
      </c>
      <c r="G11" s="25" t="s">
        <v>32</v>
      </c>
      <c r="H11" s="12" t="s">
        <v>35</v>
      </c>
      <c r="I11" s="344" t="s">
        <v>34</v>
      </c>
      <c r="J11" s="12"/>
      <c r="K11" s="25" t="s">
        <v>12</v>
      </c>
      <c r="L11" s="25" t="s">
        <v>12</v>
      </c>
      <c r="M11" s="25" t="s">
        <v>14</v>
      </c>
      <c r="N11" s="25" t="s">
        <v>32</v>
      </c>
      <c r="O11" s="25" t="s">
        <v>53</v>
      </c>
      <c r="P11" s="25" t="s">
        <v>30</v>
      </c>
      <c r="Q11" s="25" t="s">
        <v>33</v>
      </c>
      <c r="R11" s="344" t="s">
        <v>37</v>
      </c>
      <c r="S11" s="37"/>
      <c r="T11" s="25" t="s">
        <v>14</v>
      </c>
      <c r="U11" s="25" t="s">
        <v>38</v>
      </c>
      <c r="V11" s="25" t="s">
        <v>12</v>
      </c>
      <c r="W11" s="25" t="s">
        <v>31</v>
      </c>
      <c r="X11" s="25" t="s">
        <v>30</v>
      </c>
      <c r="Y11" s="25" t="s">
        <v>39</v>
      </c>
      <c r="Z11" s="25" t="s">
        <v>32</v>
      </c>
      <c r="AA11" s="344" t="s">
        <v>40</v>
      </c>
      <c r="AB11" s="37"/>
      <c r="AC11" s="25" t="s">
        <v>32</v>
      </c>
      <c r="AD11" s="25" t="s">
        <v>14</v>
      </c>
      <c r="AE11" s="25" t="s">
        <v>12</v>
      </c>
      <c r="AF11" s="25" t="s">
        <v>29</v>
      </c>
      <c r="AG11" s="25" t="s">
        <v>33</v>
      </c>
      <c r="AH11" s="25" t="s">
        <v>36</v>
      </c>
      <c r="AI11" s="25" t="s">
        <v>35</v>
      </c>
      <c r="AJ11" s="344" t="s">
        <v>41</v>
      </c>
      <c r="AK11" s="12"/>
      <c r="AL11" s="25" t="s">
        <v>14</v>
      </c>
      <c r="AM11" s="25" t="s">
        <v>26</v>
      </c>
      <c r="AN11" s="25" t="s">
        <v>30</v>
      </c>
      <c r="AO11" s="25" t="s">
        <v>32</v>
      </c>
      <c r="AP11" s="25" t="s">
        <v>53</v>
      </c>
      <c r="AQ11" s="25" t="s">
        <v>12</v>
      </c>
      <c r="AR11" s="25" t="s">
        <v>43</v>
      </c>
      <c r="AS11" s="25" t="s">
        <v>29</v>
      </c>
      <c r="AT11" s="358">
        <f t="shared" si="0"/>
        <v>6</v>
      </c>
      <c r="AU11" s="358">
        <f t="shared" si="1"/>
        <v>5</v>
      </c>
      <c r="AV11" s="358">
        <f t="shared" si="2"/>
        <v>5</v>
      </c>
      <c r="AW11" s="358">
        <f t="shared" si="3"/>
        <v>2</v>
      </c>
      <c r="AX11" s="358">
        <f t="shared" si="4"/>
        <v>2</v>
      </c>
      <c r="AY11" s="358">
        <f t="shared" si="5"/>
        <v>3</v>
      </c>
      <c r="AZ11" s="358">
        <f t="shared" si="6"/>
        <v>3</v>
      </c>
      <c r="BA11" s="358">
        <f t="shared" si="7"/>
        <v>3</v>
      </c>
      <c r="BB11" s="358">
        <f t="shared" si="8"/>
        <v>1</v>
      </c>
      <c r="BC11" s="358">
        <f t="shared" si="9"/>
        <v>1</v>
      </c>
      <c r="BD11" s="358">
        <f t="shared" si="10"/>
        <v>1</v>
      </c>
      <c r="BE11" s="358">
        <f t="shared" si="11"/>
        <v>1</v>
      </c>
      <c r="BF11" s="358">
        <f t="shared" si="12"/>
        <v>1</v>
      </c>
      <c r="BG11" s="358">
        <f t="shared" si="13"/>
        <v>1</v>
      </c>
      <c r="BH11" s="358">
        <f t="shared" si="14"/>
        <v>1</v>
      </c>
      <c r="BI11" s="358">
        <f t="shared" si="15"/>
        <v>0</v>
      </c>
    </row>
    <row r="12" s="26" customFormat="1" ht="47.1" customHeight="1" spans="1:61">
      <c r="A12" s="343" t="s">
        <v>54</v>
      </c>
      <c r="B12" s="25" t="s">
        <v>36</v>
      </c>
      <c r="C12" s="25" t="s">
        <v>32</v>
      </c>
      <c r="D12" s="25" t="s">
        <v>14</v>
      </c>
      <c r="E12" s="25" t="s">
        <v>43</v>
      </c>
      <c r="F12" s="25" t="s">
        <v>30</v>
      </c>
      <c r="G12" s="25" t="s">
        <v>12</v>
      </c>
      <c r="H12" s="25" t="s">
        <v>33</v>
      </c>
      <c r="I12" s="344" t="s">
        <v>34</v>
      </c>
      <c r="J12" s="37"/>
      <c r="K12" s="25" t="s">
        <v>32</v>
      </c>
      <c r="L12" s="25" t="s">
        <v>53</v>
      </c>
      <c r="M12" s="25" t="s">
        <v>29</v>
      </c>
      <c r="N12" s="25" t="s">
        <v>12</v>
      </c>
      <c r="O12" s="25" t="s">
        <v>12</v>
      </c>
      <c r="P12" s="12" t="s">
        <v>14</v>
      </c>
      <c r="Q12" s="25" t="s">
        <v>35</v>
      </c>
      <c r="R12" s="344" t="s">
        <v>37</v>
      </c>
      <c r="S12" s="37"/>
      <c r="T12" s="25" t="s">
        <v>29</v>
      </c>
      <c r="U12" s="360" t="s">
        <v>36</v>
      </c>
      <c r="V12" s="362" t="s">
        <v>39</v>
      </c>
      <c r="W12" s="25" t="s">
        <v>14</v>
      </c>
      <c r="X12" s="25" t="s">
        <v>12</v>
      </c>
      <c r="Y12" s="25" t="s">
        <v>32</v>
      </c>
      <c r="Z12" s="25" t="s">
        <v>33</v>
      </c>
      <c r="AA12" s="360" t="s">
        <v>40</v>
      </c>
      <c r="AB12" s="37"/>
      <c r="AC12" s="25" t="s">
        <v>35</v>
      </c>
      <c r="AD12" s="25" t="s">
        <v>12</v>
      </c>
      <c r="AE12" s="25" t="s">
        <v>14</v>
      </c>
      <c r="AF12" s="25" t="s">
        <v>32</v>
      </c>
      <c r="AG12" s="25" t="s">
        <v>38</v>
      </c>
      <c r="AH12" s="25" t="s">
        <v>30</v>
      </c>
      <c r="AI12" s="360" t="s">
        <v>31</v>
      </c>
      <c r="AJ12" s="344" t="s">
        <v>41</v>
      </c>
      <c r="AK12" s="12"/>
      <c r="AL12" s="25" t="s">
        <v>32</v>
      </c>
      <c r="AM12" s="25" t="s">
        <v>53</v>
      </c>
      <c r="AN12" s="25" t="s">
        <v>29</v>
      </c>
      <c r="AO12" s="25" t="s">
        <v>14</v>
      </c>
      <c r="AP12" s="25" t="s">
        <v>26</v>
      </c>
      <c r="AQ12" s="25" t="s">
        <v>33</v>
      </c>
      <c r="AR12" s="25" t="s">
        <v>30</v>
      </c>
      <c r="AS12" s="25" t="s">
        <v>12</v>
      </c>
      <c r="AT12" s="358">
        <f t="shared" si="0"/>
        <v>6</v>
      </c>
      <c r="AU12" s="358">
        <f t="shared" si="1"/>
        <v>5</v>
      </c>
      <c r="AV12" s="358">
        <f t="shared" si="2"/>
        <v>5</v>
      </c>
      <c r="AW12" s="358">
        <f t="shared" si="3"/>
        <v>2</v>
      </c>
      <c r="AX12" s="358">
        <f t="shared" si="4"/>
        <v>2</v>
      </c>
      <c r="AY12" s="358">
        <f t="shared" si="5"/>
        <v>3</v>
      </c>
      <c r="AZ12" s="358">
        <f t="shared" si="6"/>
        <v>3</v>
      </c>
      <c r="BA12" s="358">
        <f t="shared" si="7"/>
        <v>3</v>
      </c>
      <c r="BB12" s="358">
        <f t="shared" si="8"/>
        <v>1</v>
      </c>
      <c r="BC12" s="358">
        <f t="shared" si="9"/>
        <v>1</v>
      </c>
      <c r="BD12" s="358">
        <f t="shared" si="10"/>
        <v>1</v>
      </c>
      <c r="BE12" s="358">
        <f t="shared" si="11"/>
        <v>1</v>
      </c>
      <c r="BF12" s="358">
        <f t="shared" si="12"/>
        <v>1</v>
      </c>
      <c r="BG12" s="358">
        <f t="shared" si="13"/>
        <v>1</v>
      </c>
      <c r="BH12" s="358">
        <f t="shared" si="14"/>
        <v>1</v>
      </c>
      <c r="BI12" s="358">
        <f t="shared" si="15"/>
        <v>0</v>
      </c>
    </row>
    <row r="13" s="26" customFormat="1" ht="47.1" customHeight="1" spans="1:61">
      <c r="A13" s="343" t="s">
        <v>55</v>
      </c>
      <c r="B13" s="25" t="s">
        <v>32</v>
      </c>
      <c r="C13" s="25" t="s">
        <v>30</v>
      </c>
      <c r="D13" s="25" t="s">
        <v>33</v>
      </c>
      <c r="E13" s="25" t="s">
        <v>36</v>
      </c>
      <c r="F13" s="25" t="s">
        <v>43</v>
      </c>
      <c r="G13" s="25" t="s">
        <v>12</v>
      </c>
      <c r="H13" s="25" t="s">
        <v>14</v>
      </c>
      <c r="I13" s="344" t="s">
        <v>34</v>
      </c>
      <c r="J13" s="37"/>
      <c r="K13" s="25" t="s">
        <v>12</v>
      </c>
      <c r="L13" s="25" t="s">
        <v>12</v>
      </c>
      <c r="M13" s="25" t="s">
        <v>29</v>
      </c>
      <c r="N13" s="25" t="s">
        <v>14</v>
      </c>
      <c r="O13" s="25" t="s">
        <v>32</v>
      </c>
      <c r="P13" s="25" t="s">
        <v>35</v>
      </c>
      <c r="Q13" s="25" t="s">
        <v>31</v>
      </c>
      <c r="R13" s="344" t="s">
        <v>37</v>
      </c>
      <c r="S13" s="37"/>
      <c r="T13" s="25" t="s">
        <v>14</v>
      </c>
      <c r="U13" s="25" t="s">
        <v>26</v>
      </c>
      <c r="V13" s="25" t="s">
        <v>29</v>
      </c>
      <c r="W13" s="25" t="s">
        <v>12</v>
      </c>
      <c r="X13" s="25" t="s">
        <v>38</v>
      </c>
      <c r="Y13" s="25" t="s">
        <v>32</v>
      </c>
      <c r="Z13" s="362" t="s">
        <v>30</v>
      </c>
      <c r="AA13" s="362" t="s">
        <v>39</v>
      </c>
      <c r="AB13" s="12"/>
      <c r="AC13" s="25" t="s">
        <v>32</v>
      </c>
      <c r="AD13" s="25" t="s">
        <v>56</v>
      </c>
      <c r="AE13" s="25" t="s">
        <v>12</v>
      </c>
      <c r="AF13" s="25" t="s">
        <v>36</v>
      </c>
      <c r="AG13" s="25" t="s">
        <v>35</v>
      </c>
      <c r="AH13" s="25" t="s">
        <v>33</v>
      </c>
      <c r="AI13" s="25" t="s">
        <v>14</v>
      </c>
      <c r="AJ13" s="344" t="s">
        <v>41</v>
      </c>
      <c r="AK13" s="37"/>
      <c r="AL13" s="25" t="s">
        <v>32</v>
      </c>
      <c r="AM13" s="25" t="s">
        <v>56</v>
      </c>
      <c r="AN13" s="25" t="s">
        <v>30</v>
      </c>
      <c r="AO13" s="25" t="s">
        <v>29</v>
      </c>
      <c r="AP13" s="25" t="s">
        <v>14</v>
      </c>
      <c r="AQ13" s="25" t="s">
        <v>12</v>
      </c>
      <c r="AR13" s="25" t="s">
        <v>33</v>
      </c>
      <c r="AS13" s="25" t="s">
        <v>40</v>
      </c>
      <c r="AT13" s="358">
        <f t="shared" si="0"/>
        <v>6</v>
      </c>
      <c r="AU13" s="358">
        <f t="shared" si="1"/>
        <v>5</v>
      </c>
      <c r="AV13" s="358">
        <f t="shared" si="2"/>
        <v>5</v>
      </c>
      <c r="AW13" s="358">
        <f t="shared" si="3"/>
        <v>2</v>
      </c>
      <c r="AX13" s="358">
        <f t="shared" si="4"/>
        <v>2</v>
      </c>
      <c r="AY13" s="358">
        <f t="shared" si="5"/>
        <v>3</v>
      </c>
      <c r="AZ13" s="358">
        <f t="shared" si="6"/>
        <v>3</v>
      </c>
      <c r="BA13" s="358">
        <f t="shared" si="7"/>
        <v>3</v>
      </c>
      <c r="BB13" s="358">
        <f t="shared" si="8"/>
        <v>1</v>
      </c>
      <c r="BC13" s="358">
        <f t="shared" si="9"/>
        <v>1</v>
      </c>
      <c r="BD13" s="358">
        <f t="shared" si="10"/>
        <v>1</v>
      </c>
      <c r="BE13" s="358">
        <f t="shared" si="11"/>
        <v>1</v>
      </c>
      <c r="BF13" s="358">
        <f t="shared" si="12"/>
        <v>1</v>
      </c>
      <c r="BG13" s="358">
        <f t="shared" si="13"/>
        <v>1</v>
      </c>
      <c r="BH13" s="358">
        <f t="shared" si="14"/>
        <v>1</v>
      </c>
      <c r="BI13" s="358">
        <f t="shared" si="15"/>
        <v>0</v>
      </c>
    </row>
    <row r="14" s="26" customFormat="1" ht="47.1" customHeight="1" spans="1:61">
      <c r="A14" s="343" t="s">
        <v>57</v>
      </c>
      <c r="B14" s="25" t="s">
        <v>14</v>
      </c>
      <c r="C14" s="25" t="s">
        <v>12</v>
      </c>
      <c r="D14" s="12" t="s">
        <v>35</v>
      </c>
      <c r="E14" s="25" t="s">
        <v>32</v>
      </c>
      <c r="F14" s="25" t="s">
        <v>36</v>
      </c>
      <c r="G14" s="25" t="s">
        <v>33</v>
      </c>
      <c r="H14" s="25" t="s">
        <v>29</v>
      </c>
      <c r="I14" s="344" t="s">
        <v>34</v>
      </c>
      <c r="J14" s="37"/>
      <c r="K14" s="360" t="s">
        <v>39</v>
      </c>
      <c r="L14" s="360" t="s">
        <v>14</v>
      </c>
      <c r="M14" s="25" t="s">
        <v>32</v>
      </c>
      <c r="N14" s="25" t="s">
        <v>12</v>
      </c>
      <c r="O14" s="25" t="s">
        <v>12</v>
      </c>
      <c r="P14" s="25" t="s">
        <v>33</v>
      </c>
      <c r="Q14" s="25" t="s">
        <v>30</v>
      </c>
      <c r="R14" s="344" t="s">
        <v>37</v>
      </c>
      <c r="S14" s="37"/>
      <c r="T14" s="25" t="s">
        <v>36</v>
      </c>
      <c r="U14" s="360" t="s">
        <v>29</v>
      </c>
      <c r="V14" s="25" t="s">
        <v>12</v>
      </c>
      <c r="W14" s="25" t="s">
        <v>14</v>
      </c>
      <c r="X14" s="25" t="s">
        <v>26</v>
      </c>
      <c r="Y14" s="25" t="s">
        <v>35</v>
      </c>
      <c r="Z14" s="25" t="s">
        <v>32</v>
      </c>
      <c r="AA14" s="360" t="s">
        <v>30</v>
      </c>
      <c r="AB14" s="12"/>
      <c r="AC14" s="25" t="s">
        <v>12</v>
      </c>
      <c r="AD14" s="25" t="s">
        <v>33</v>
      </c>
      <c r="AE14" s="25" t="s">
        <v>14</v>
      </c>
      <c r="AF14" s="25" t="s">
        <v>38</v>
      </c>
      <c r="AG14" s="25" t="s">
        <v>30</v>
      </c>
      <c r="AH14" s="25" t="s">
        <v>32</v>
      </c>
      <c r="AI14" s="25" t="s">
        <v>56</v>
      </c>
      <c r="AJ14" s="344" t="s">
        <v>41</v>
      </c>
      <c r="AK14" s="12"/>
      <c r="AL14" s="25" t="s">
        <v>29</v>
      </c>
      <c r="AM14" s="25" t="s">
        <v>43</v>
      </c>
      <c r="AN14" s="25" t="s">
        <v>14</v>
      </c>
      <c r="AO14" s="25" t="s">
        <v>32</v>
      </c>
      <c r="AP14" s="25" t="s">
        <v>56</v>
      </c>
      <c r="AQ14" s="25" t="s">
        <v>31</v>
      </c>
      <c r="AR14" s="25" t="s">
        <v>12</v>
      </c>
      <c r="AS14" s="360" t="s">
        <v>40</v>
      </c>
      <c r="AT14" s="358">
        <f t="shared" si="0"/>
        <v>6</v>
      </c>
      <c r="AU14" s="358">
        <f t="shared" si="1"/>
        <v>5</v>
      </c>
      <c r="AV14" s="358">
        <f t="shared" si="2"/>
        <v>5</v>
      </c>
      <c r="AW14" s="358">
        <f t="shared" si="3"/>
        <v>2</v>
      </c>
      <c r="AX14" s="358">
        <f t="shared" si="4"/>
        <v>2</v>
      </c>
      <c r="AY14" s="358">
        <f t="shared" si="5"/>
        <v>3</v>
      </c>
      <c r="AZ14" s="358">
        <f t="shared" si="6"/>
        <v>3</v>
      </c>
      <c r="BA14" s="358">
        <f t="shared" si="7"/>
        <v>3</v>
      </c>
      <c r="BB14" s="358">
        <f t="shared" si="8"/>
        <v>1</v>
      </c>
      <c r="BC14" s="358">
        <f t="shared" si="9"/>
        <v>1</v>
      </c>
      <c r="BD14" s="358">
        <f t="shared" si="10"/>
        <v>1</v>
      </c>
      <c r="BE14" s="358">
        <f t="shared" si="11"/>
        <v>1</v>
      </c>
      <c r="BF14" s="358">
        <f t="shared" si="12"/>
        <v>1</v>
      </c>
      <c r="BG14" s="358">
        <f t="shared" si="13"/>
        <v>1</v>
      </c>
      <c r="BH14" s="358">
        <f t="shared" si="14"/>
        <v>1</v>
      </c>
      <c r="BI14" s="358">
        <f t="shared" si="15"/>
        <v>0</v>
      </c>
    </row>
    <row r="15" s="26" customFormat="1" ht="47.1" customHeight="1" spans="1:61">
      <c r="A15" s="343" t="s">
        <v>58</v>
      </c>
      <c r="B15" s="25" t="s">
        <v>43</v>
      </c>
      <c r="C15" s="25" t="s">
        <v>29</v>
      </c>
      <c r="D15" s="25" t="s">
        <v>32</v>
      </c>
      <c r="E15" s="25" t="s">
        <v>33</v>
      </c>
      <c r="F15" s="25" t="s">
        <v>14</v>
      </c>
      <c r="G15" s="25" t="s">
        <v>30</v>
      </c>
      <c r="H15" s="25" t="s">
        <v>12</v>
      </c>
      <c r="I15" s="344" t="s">
        <v>34</v>
      </c>
      <c r="J15" s="37"/>
      <c r="K15" s="25" t="s">
        <v>12</v>
      </c>
      <c r="L15" s="25" t="s">
        <v>12</v>
      </c>
      <c r="M15" s="25" t="s">
        <v>14</v>
      </c>
      <c r="N15" s="25" t="s">
        <v>59</v>
      </c>
      <c r="O15" s="25" t="s">
        <v>32</v>
      </c>
      <c r="P15" s="25" t="s">
        <v>33</v>
      </c>
      <c r="Q15" s="25" t="s">
        <v>36</v>
      </c>
      <c r="R15" s="344" t="s">
        <v>37</v>
      </c>
      <c r="S15" s="12"/>
      <c r="T15" s="25" t="s">
        <v>14</v>
      </c>
      <c r="U15" s="25" t="s">
        <v>26</v>
      </c>
      <c r="V15" s="25" t="s">
        <v>12</v>
      </c>
      <c r="W15" s="25" t="s">
        <v>29</v>
      </c>
      <c r="X15" s="25" t="s">
        <v>30</v>
      </c>
      <c r="Y15" s="25" t="s">
        <v>32</v>
      </c>
      <c r="Z15" s="25" t="s">
        <v>35</v>
      </c>
      <c r="AA15" s="25" t="s">
        <v>39</v>
      </c>
      <c r="AB15" s="12"/>
      <c r="AC15" s="25" t="s">
        <v>32</v>
      </c>
      <c r="AD15" s="25" t="s">
        <v>38</v>
      </c>
      <c r="AE15" s="25" t="s">
        <v>33</v>
      </c>
      <c r="AF15" s="25" t="s">
        <v>40</v>
      </c>
      <c r="AG15" s="25" t="s">
        <v>12</v>
      </c>
      <c r="AH15" s="25" t="s">
        <v>29</v>
      </c>
      <c r="AI15" s="25" t="s">
        <v>14</v>
      </c>
      <c r="AJ15" s="344" t="s">
        <v>41</v>
      </c>
      <c r="AK15" s="12"/>
      <c r="AL15" s="25" t="s">
        <v>14</v>
      </c>
      <c r="AM15" s="25" t="s">
        <v>30</v>
      </c>
      <c r="AN15" s="25" t="s">
        <v>35</v>
      </c>
      <c r="AO15" s="25" t="s">
        <v>32</v>
      </c>
      <c r="AP15" s="25" t="s">
        <v>59</v>
      </c>
      <c r="AQ15" s="25" t="s">
        <v>36</v>
      </c>
      <c r="AR15" s="25" t="s">
        <v>31</v>
      </c>
      <c r="AS15" s="12" t="s">
        <v>12</v>
      </c>
      <c r="AT15" s="358">
        <f t="shared" si="0"/>
        <v>6</v>
      </c>
      <c r="AU15" s="358">
        <f t="shared" si="1"/>
        <v>5</v>
      </c>
      <c r="AV15" s="358">
        <f t="shared" si="2"/>
        <v>5</v>
      </c>
      <c r="AW15" s="358">
        <f t="shared" si="3"/>
        <v>2</v>
      </c>
      <c r="AX15" s="358">
        <f t="shared" si="4"/>
        <v>2</v>
      </c>
      <c r="AY15" s="358">
        <f t="shared" si="5"/>
        <v>3</v>
      </c>
      <c r="AZ15" s="358">
        <f t="shared" si="6"/>
        <v>3</v>
      </c>
      <c r="BA15" s="358">
        <f t="shared" si="7"/>
        <v>3</v>
      </c>
      <c r="BB15" s="358">
        <f t="shared" si="8"/>
        <v>1</v>
      </c>
      <c r="BC15" s="358">
        <f t="shared" si="9"/>
        <v>1</v>
      </c>
      <c r="BD15" s="358">
        <f t="shared" si="10"/>
        <v>1</v>
      </c>
      <c r="BE15" s="358">
        <f t="shared" si="11"/>
        <v>1</v>
      </c>
      <c r="BF15" s="358">
        <f t="shared" si="12"/>
        <v>1</v>
      </c>
      <c r="BG15" s="358">
        <f t="shared" si="13"/>
        <v>1</v>
      </c>
      <c r="BH15" s="358">
        <f t="shared" si="14"/>
        <v>1</v>
      </c>
      <c r="BI15" s="358">
        <f t="shared" si="15"/>
        <v>0</v>
      </c>
    </row>
    <row r="16" s="26" customFormat="1" ht="47.1" customHeight="1" spans="1:61">
      <c r="A16" s="343" t="s">
        <v>60</v>
      </c>
      <c r="B16" s="25" t="s">
        <v>36</v>
      </c>
      <c r="C16" s="25" t="s">
        <v>32</v>
      </c>
      <c r="D16" s="25" t="s">
        <v>43</v>
      </c>
      <c r="E16" s="25" t="s">
        <v>14</v>
      </c>
      <c r="F16" s="25" t="s">
        <v>12</v>
      </c>
      <c r="G16" s="25" t="s">
        <v>35</v>
      </c>
      <c r="H16" s="25" t="s">
        <v>38</v>
      </c>
      <c r="I16" s="344" t="s">
        <v>34</v>
      </c>
      <c r="J16" s="37"/>
      <c r="K16" s="25" t="s">
        <v>32</v>
      </c>
      <c r="L16" s="25" t="s">
        <v>59</v>
      </c>
      <c r="M16" s="25" t="s">
        <v>33</v>
      </c>
      <c r="N16" s="25" t="s">
        <v>12</v>
      </c>
      <c r="O16" s="25" t="s">
        <v>12</v>
      </c>
      <c r="P16" s="25" t="s">
        <v>14</v>
      </c>
      <c r="Q16" s="25" t="s">
        <v>29</v>
      </c>
      <c r="R16" s="344" t="s">
        <v>37</v>
      </c>
      <c r="S16" s="12"/>
      <c r="T16" s="25" t="s">
        <v>29</v>
      </c>
      <c r="U16" s="25" t="s">
        <v>12</v>
      </c>
      <c r="V16" s="25" t="s">
        <v>30</v>
      </c>
      <c r="W16" s="25" t="s">
        <v>14</v>
      </c>
      <c r="X16" s="25" t="s">
        <v>26</v>
      </c>
      <c r="Y16" s="344" t="s">
        <v>40</v>
      </c>
      <c r="Z16" s="25" t="s">
        <v>32</v>
      </c>
      <c r="AA16" s="25" t="s">
        <v>31</v>
      </c>
      <c r="AB16" s="37"/>
      <c r="AC16" s="25" t="s">
        <v>12</v>
      </c>
      <c r="AD16" s="25" t="s">
        <v>14</v>
      </c>
      <c r="AE16" s="25" t="s">
        <v>36</v>
      </c>
      <c r="AF16" s="25" t="s">
        <v>32</v>
      </c>
      <c r="AG16" s="25" t="s">
        <v>33</v>
      </c>
      <c r="AH16" s="25" t="s">
        <v>35</v>
      </c>
      <c r="AI16" s="25" t="s">
        <v>30</v>
      </c>
      <c r="AJ16" s="344" t="s">
        <v>41</v>
      </c>
      <c r="AK16" s="37"/>
      <c r="AL16" s="25" t="s">
        <v>59</v>
      </c>
      <c r="AM16" s="25" t="s">
        <v>32</v>
      </c>
      <c r="AN16" s="25" t="s">
        <v>39</v>
      </c>
      <c r="AO16" s="25" t="s">
        <v>14</v>
      </c>
      <c r="AP16" s="25" t="s">
        <v>29</v>
      </c>
      <c r="AQ16" s="12" t="s">
        <v>12</v>
      </c>
      <c r="AR16" s="360" t="s">
        <v>33</v>
      </c>
      <c r="AS16" s="360" t="s">
        <v>30</v>
      </c>
      <c r="AT16" s="358">
        <f t="shared" si="0"/>
        <v>6</v>
      </c>
      <c r="AU16" s="358">
        <f t="shared" si="1"/>
        <v>5</v>
      </c>
      <c r="AV16" s="358">
        <f t="shared" si="2"/>
        <v>5</v>
      </c>
      <c r="AW16" s="358">
        <f t="shared" si="3"/>
        <v>2</v>
      </c>
      <c r="AX16" s="358">
        <f t="shared" si="4"/>
        <v>2</v>
      </c>
      <c r="AY16" s="358">
        <f t="shared" si="5"/>
        <v>3</v>
      </c>
      <c r="AZ16" s="358">
        <f t="shared" si="6"/>
        <v>3</v>
      </c>
      <c r="BA16" s="358">
        <f t="shared" si="7"/>
        <v>3</v>
      </c>
      <c r="BB16" s="358">
        <f t="shared" si="8"/>
        <v>1</v>
      </c>
      <c r="BC16" s="358">
        <f t="shared" si="9"/>
        <v>1</v>
      </c>
      <c r="BD16" s="358">
        <f t="shared" si="10"/>
        <v>1</v>
      </c>
      <c r="BE16" s="358">
        <f t="shared" si="11"/>
        <v>1</v>
      </c>
      <c r="BF16" s="358">
        <f t="shared" si="12"/>
        <v>1</v>
      </c>
      <c r="BG16" s="358">
        <f t="shared" si="13"/>
        <v>1</v>
      </c>
      <c r="BH16" s="358">
        <f t="shared" si="14"/>
        <v>1</v>
      </c>
      <c r="BI16" s="358">
        <f t="shared" si="15"/>
        <v>0</v>
      </c>
    </row>
    <row r="17" s="26" customFormat="1" ht="47.1" customHeight="1" spans="1:61">
      <c r="A17" s="343" t="s">
        <v>61</v>
      </c>
      <c r="B17" s="25" t="s">
        <v>14</v>
      </c>
      <c r="C17" s="360" t="s">
        <v>30</v>
      </c>
      <c r="D17" s="25" t="s">
        <v>32</v>
      </c>
      <c r="E17" s="25" t="s">
        <v>12</v>
      </c>
      <c r="F17" s="360" t="s">
        <v>33</v>
      </c>
      <c r="G17" s="25" t="s">
        <v>29</v>
      </c>
      <c r="H17" s="25" t="s">
        <v>35</v>
      </c>
      <c r="I17" s="344" t="s">
        <v>34</v>
      </c>
      <c r="J17" s="37"/>
      <c r="K17" s="25" t="s">
        <v>12</v>
      </c>
      <c r="L17" s="25" t="s">
        <v>12</v>
      </c>
      <c r="M17" s="25" t="s">
        <v>14</v>
      </c>
      <c r="N17" s="25" t="s">
        <v>62</v>
      </c>
      <c r="O17" s="25" t="s">
        <v>32</v>
      </c>
      <c r="P17" s="12" t="s">
        <v>38</v>
      </c>
      <c r="Q17" s="25" t="s">
        <v>43</v>
      </c>
      <c r="R17" s="344" t="s">
        <v>37</v>
      </c>
      <c r="S17" s="25"/>
      <c r="T17" s="25" t="s">
        <v>39</v>
      </c>
      <c r="U17" s="25" t="s">
        <v>29</v>
      </c>
      <c r="V17" s="25" t="s">
        <v>12</v>
      </c>
      <c r="W17" s="25" t="s">
        <v>14</v>
      </c>
      <c r="X17" s="25" t="s">
        <v>30</v>
      </c>
      <c r="Y17" s="25" t="s">
        <v>32</v>
      </c>
      <c r="Z17" s="25" t="s">
        <v>33</v>
      </c>
      <c r="AA17" s="25" t="s">
        <v>36</v>
      </c>
      <c r="AB17" s="25"/>
      <c r="AC17" s="25" t="s">
        <v>32</v>
      </c>
      <c r="AD17" s="25" t="s">
        <v>62</v>
      </c>
      <c r="AE17" s="25" t="s">
        <v>12</v>
      </c>
      <c r="AF17" s="25" t="s">
        <v>26</v>
      </c>
      <c r="AG17" s="25" t="s">
        <v>14</v>
      </c>
      <c r="AH17" s="25" t="s">
        <v>31</v>
      </c>
      <c r="AI17" s="25" t="s">
        <v>35</v>
      </c>
      <c r="AJ17" s="344" t="s">
        <v>41</v>
      </c>
      <c r="AK17" s="12"/>
      <c r="AL17" s="25" t="s">
        <v>32</v>
      </c>
      <c r="AM17" s="25" t="s">
        <v>29</v>
      </c>
      <c r="AN17" s="360" t="s">
        <v>33</v>
      </c>
      <c r="AO17" s="25" t="s">
        <v>14</v>
      </c>
      <c r="AP17" s="360" t="s">
        <v>40</v>
      </c>
      <c r="AQ17" s="360" t="s">
        <v>30</v>
      </c>
      <c r="AR17" s="25" t="s">
        <v>12</v>
      </c>
      <c r="AS17" s="344" t="s">
        <v>36</v>
      </c>
      <c r="AT17" s="358">
        <f t="shared" si="0"/>
        <v>6</v>
      </c>
      <c r="AU17" s="358">
        <f t="shared" si="1"/>
        <v>5</v>
      </c>
      <c r="AV17" s="358">
        <f t="shared" si="2"/>
        <v>5</v>
      </c>
      <c r="AW17" s="358">
        <f t="shared" si="3"/>
        <v>2</v>
      </c>
      <c r="AX17" s="358">
        <f t="shared" si="4"/>
        <v>2</v>
      </c>
      <c r="AY17" s="358">
        <f t="shared" si="5"/>
        <v>3</v>
      </c>
      <c r="AZ17" s="358">
        <f t="shared" si="6"/>
        <v>3</v>
      </c>
      <c r="BA17" s="358">
        <f t="shared" si="7"/>
        <v>3</v>
      </c>
      <c r="BB17" s="358">
        <f t="shared" si="8"/>
        <v>1</v>
      </c>
      <c r="BC17" s="358">
        <f t="shared" si="9"/>
        <v>1</v>
      </c>
      <c r="BD17" s="358">
        <f t="shared" si="10"/>
        <v>1</v>
      </c>
      <c r="BE17" s="358">
        <f t="shared" si="11"/>
        <v>1</v>
      </c>
      <c r="BF17" s="358">
        <f t="shared" si="12"/>
        <v>1</v>
      </c>
      <c r="BG17" s="358">
        <f t="shared" si="13"/>
        <v>1</v>
      </c>
      <c r="BH17" s="358">
        <f t="shared" si="14"/>
        <v>1</v>
      </c>
      <c r="BI17" s="358">
        <f t="shared" si="15"/>
        <v>0</v>
      </c>
    </row>
    <row r="18" s="26" customFormat="1" ht="47.1" customHeight="1" spans="1:61">
      <c r="A18" s="343" t="s">
        <v>63</v>
      </c>
      <c r="B18" s="360" t="s">
        <v>40</v>
      </c>
      <c r="C18" s="360" t="s">
        <v>32</v>
      </c>
      <c r="D18" s="25" t="s">
        <v>36</v>
      </c>
      <c r="E18" s="25" t="s">
        <v>29</v>
      </c>
      <c r="F18" s="25" t="s">
        <v>12</v>
      </c>
      <c r="G18" s="25" t="s">
        <v>14</v>
      </c>
      <c r="H18" s="25" t="s">
        <v>33</v>
      </c>
      <c r="I18" s="344" t="s">
        <v>34</v>
      </c>
      <c r="J18" s="37"/>
      <c r="K18" s="25" t="s">
        <v>32</v>
      </c>
      <c r="L18" s="25" t="s">
        <v>62</v>
      </c>
      <c r="M18" s="25" t="s">
        <v>35</v>
      </c>
      <c r="N18" s="25" t="s">
        <v>12</v>
      </c>
      <c r="O18" s="25" t="s">
        <v>12</v>
      </c>
      <c r="P18" s="25" t="s">
        <v>29</v>
      </c>
      <c r="Q18" s="25" t="s">
        <v>14</v>
      </c>
      <c r="R18" s="344" t="s">
        <v>37</v>
      </c>
      <c r="S18" s="12"/>
      <c r="T18" s="25" t="s">
        <v>14</v>
      </c>
      <c r="U18" s="25" t="s">
        <v>26</v>
      </c>
      <c r="V18" s="25" t="s">
        <v>36</v>
      </c>
      <c r="W18" s="25" t="s">
        <v>12</v>
      </c>
      <c r="X18" s="12" t="s">
        <v>39</v>
      </c>
      <c r="Y18" s="25" t="s">
        <v>33</v>
      </c>
      <c r="Z18" s="25" t="s">
        <v>32</v>
      </c>
      <c r="AA18" s="25" t="s">
        <v>30</v>
      </c>
      <c r="AB18" s="37"/>
      <c r="AC18" s="25" t="s">
        <v>12</v>
      </c>
      <c r="AD18" s="25" t="s">
        <v>14</v>
      </c>
      <c r="AE18" s="25" t="s">
        <v>35</v>
      </c>
      <c r="AF18" s="25" t="s">
        <v>30</v>
      </c>
      <c r="AG18" s="25" t="s">
        <v>38</v>
      </c>
      <c r="AH18" s="25" t="s">
        <v>32</v>
      </c>
      <c r="AI18" s="25" t="s">
        <v>62</v>
      </c>
      <c r="AJ18" s="344" t="s">
        <v>41</v>
      </c>
      <c r="AK18" s="25"/>
      <c r="AL18" s="25" t="s">
        <v>29</v>
      </c>
      <c r="AM18" s="25" t="s">
        <v>33</v>
      </c>
      <c r="AN18" s="25" t="s">
        <v>32</v>
      </c>
      <c r="AO18" s="25" t="s">
        <v>43</v>
      </c>
      <c r="AP18" s="25" t="s">
        <v>14</v>
      </c>
      <c r="AQ18" s="25" t="s">
        <v>12</v>
      </c>
      <c r="AR18" s="25" t="s">
        <v>30</v>
      </c>
      <c r="AS18" s="25" t="s">
        <v>31</v>
      </c>
      <c r="AT18" s="358">
        <f t="shared" si="0"/>
        <v>6</v>
      </c>
      <c r="AU18" s="358">
        <f t="shared" si="1"/>
        <v>5</v>
      </c>
      <c r="AV18" s="358">
        <f t="shared" si="2"/>
        <v>5</v>
      </c>
      <c r="AW18" s="358">
        <f t="shared" si="3"/>
        <v>2</v>
      </c>
      <c r="AX18" s="358">
        <f t="shared" si="4"/>
        <v>2</v>
      </c>
      <c r="AY18" s="358">
        <f t="shared" si="5"/>
        <v>3</v>
      </c>
      <c r="AZ18" s="358">
        <f t="shared" si="6"/>
        <v>3</v>
      </c>
      <c r="BA18" s="358">
        <f t="shared" si="7"/>
        <v>3</v>
      </c>
      <c r="BB18" s="358">
        <f t="shared" si="8"/>
        <v>1</v>
      </c>
      <c r="BC18" s="358">
        <f t="shared" si="9"/>
        <v>1</v>
      </c>
      <c r="BD18" s="358">
        <f t="shared" si="10"/>
        <v>1</v>
      </c>
      <c r="BE18" s="358">
        <f t="shared" si="11"/>
        <v>1</v>
      </c>
      <c r="BF18" s="358">
        <f t="shared" si="12"/>
        <v>1</v>
      </c>
      <c r="BG18" s="358">
        <f t="shared" si="13"/>
        <v>1</v>
      </c>
      <c r="BH18" s="358">
        <f t="shared" si="14"/>
        <v>1</v>
      </c>
      <c r="BI18" s="358">
        <f t="shared" si="15"/>
        <v>0</v>
      </c>
    </row>
    <row r="19" s="26" customFormat="1" ht="47.1" customHeight="1" spans="1:61">
      <c r="A19" s="343" t="s">
        <v>64</v>
      </c>
      <c r="B19" s="25" t="s">
        <v>32</v>
      </c>
      <c r="C19" s="360" t="s">
        <v>29</v>
      </c>
      <c r="D19" s="25" t="s">
        <v>14</v>
      </c>
      <c r="E19" s="25" t="s">
        <v>39</v>
      </c>
      <c r="F19" s="25" t="s">
        <v>12</v>
      </c>
      <c r="G19" s="25" t="s">
        <v>30</v>
      </c>
      <c r="H19" s="25" t="s">
        <v>36</v>
      </c>
      <c r="I19" s="344" t="s">
        <v>34</v>
      </c>
      <c r="J19" s="37"/>
      <c r="K19" s="25" t="s">
        <v>12</v>
      </c>
      <c r="L19" s="25" t="s">
        <v>31</v>
      </c>
      <c r="M19" s="25" t="s">
        <v>33</v>
      </c>
      <c r="N19" s="25" t="s">
        <v>65</v>
      </c>
      <c r="O19" s="25" t="s">
        <v>32</v>
      </c>
      <c r="P19" s="25" t="s">
        <v>35</v>
      </c>
      <c r="Q19" s="25" t="s">
        <v>14</v>
      </c>
      <c r="R19" s="344" t="s">
        <v>37</v>
      </c>
      <c r="S19" s="12"/>
      <c r="T19" s="25" t="s">
        <v>14</v>
      </c>
      <c r="U19" s="25" t="s">
        <v>26</v>
      </c>
      <c r="V19" s="25" t="s">
        <v>29</v>
      </c>
      <c r="W19" s="25" t="s">
        <v>12</v>
      </c>
      <c r="X19" s="25" t="s">
        <v>12</v>
      </c>
      <c r="Y19" s="25" t="s">
        <v>30</v>
      </c>
      <c r="Z19" s="25" t="s">
        <v>33</v>
      </c>
      <c r="AA19" s="25" t="s">
        <v>32</v>
      </c>
      <c r="AB19" s="12"/>
      <c r="AC19" s="25" t="s">
        <v>36</v>
      </c>
      <c r="AD19" s="25" t="s">
        <v>32</v>
      </c>
      <c r="AE19" s="25" t="s">
        <v>66</v>
      </c>
      <c r="AF19" s="25" t="s">
        <v>12</v>
      </c>
      <c r="AG19" s="360" t="s">
        <v>30</v>
      </c>
      <c r="AH19" s="360" t="s">
        <v>14</v>
      </c>
      <c r="AI19" s="25" t="s">
        <v>29</v>
      </c>
      <c r="AJ19" s="344" t="s">
        <v>41</v>
      </c>
      <c r="AK19" s="12"/>
      <c r="AL19" s="25" t="s">
        <v>14</v>
      </c>
      <c r="AM19" s="25" t="s">
        <v>35</v>
      </c>
      <c r="AN19" s="25" t="s">
        <v>38</v>
      </c>
      <c r="AO19" s="25" t="s">
        <v>32</v>
      </c>
      <c r="AP19" s="363" t="s">
        <v>40</v>
      </c>
      <c r="AQ19" s="363" t="s">
        <v>43</v>
      </c>
      <c r="AR19" s="25" t="s">
        <v>12</v>
      </c>
      <c r="AS19" s="11" t="s">
        <v>33</v>
      </c>
      <c r="AT19" s="358">
        <f t="shared" si="0"/>
        <v>6</v>
      </c>
      <c r="AU19" s="358">
        <f t="shared" si="1"/>
        <v>5</v>
      </c>
      <c r="AV19" s="358">
        <f t="shared" si="2"/>
        <v>5</v>
      </c>
      <c r="AW19" s="358">
        <f t="shared" si="3"/>
        <v>2</v>
      </c>
      <c r="AX19" s="358">
        <f t="shared" si="4"/>
        <v>2</v>
      </c>
      <c r="AY19" s="358">
        <f t="shared" si="5"/>
        <v>3</v>
      </c>
      <c r="AZ19" s="358">
        <f t="shared" si="6"/>
        <v>3</v>
      </c>
      <c r="BA19" s="358">
        <f t="shared" si="7"/>
        <v>3</v>
      </c>
      <c r="BB19" s="358">
        <f t="shared" si="8"/>
        <v>1</v>
      </c>
      <c r="BC19" s="358">
        <f t="shared" si="9"/>
        <v>1</v>
      </c>
      <c r="BD19" s="358">
        <f t="shared" si="10"/>
        <v>1</v>
      </c>
      <c r="BE19" s="358">
        <f t="shared" si="11"/>
        <v>1</v>
      </c>
      <c r="BF19" s="358">
        <f t="shared" si="12"/>
        <v>1</v>
      </c>
      <c r="BG19" s="358">
        <f t="shared" si="13"/>
        <v>1</v>
      </c>
      <c r="BH19" s="358">
        <f t="shared" si="14"/>
        <v>1</v>
      </c>
      <c r="BI19" s="358">
        <f t="shared" si="15"/>
        <v>0</v>
      </c>
    </row>
    <row r="20" s="26" customFormat="1" ht="47.1" customHeight="1" spans="1:61">
      <c r="A20" s="343" t="s">
        <v>67</v>
      </c>
      <c r="B20" s="360" t="s">
        <v>35</v>
      </c>
      <c r="C20" s="360" t="s">
        <v>14</v>
      </c>
      <c r="D20" s="25" t="s">
        <v>32</v>
      </c>
      <c r="E20" s="25" t="s">
        <v>12</v>
      </c>
      <c r="F20" s="25" t="s">
        <v>30</v>
      </c>
      <c r="G20" s="25" t="s">
        <v>33</v>
      </c>
      <c r="H20" s="25" t="s">
        <v>29</v>
      </c>
      <c r="I20" s="344" t="s">
        <v>34</v>
      </c>
      <c r="J20" s="12"/>
      <c r="K20" s="25" t="s">
        <v>32</v>
      </c>
      <c r="L20" s="25" t="s">
        <v>66</v>
      </c>
      <c r="M20" s="25" t="s">
        <v>31</v>
      </c>
      <c r="N20" s="25" t="s">
        <v>12</v>
      </c>
      <c r="O20" s="25" t="s">
        <v>14</v>
      </c>
      <c r="P20" s="25" t="s">
        <v>33</v>
      </c>
      <c r="Q20" s="25" t="s">
        <v>36</v>
      </c>
      <c r="R20" s="344" t="s">
        <v>37</v>
      </c>
      <c r="S20" s="37"/>
      <c r="T20" s="25" t="s">
        <v>29</v>
      </c>
      <c r="U20" s="25" t="s">
        <v>43</v>
      </c>
      <c r="V20" s="25" t="s">
        <v>30</v>
      </c>
      <c r="W20" s="25" t="s">
        <v>26</v>
      </c>
      <c r="X20" s="25" t="s">
        <v>14</v>
      </c>
      <c r="Y20" s="25" t="s">
        <v>32</v>
      </c>
      <c r="Z20" s="25" t="s">
        <v>12</v>
      </c>
      <c r="AA20" s="25" t="s">
        <v>12</v>
      </c>
      <c r="AB20" s="12"/>
      <c r="AC20" s="25" t="s">
        <v>12</v>
      </c>
      <c r="AD20" s="360" t="s">
        <v>14</v>
      </c>
      <c r="AE20" s="360" t="s">
        <v>35</v>
      </c>
      <c r="AF20" s="25" t="s">
        <v>33</v>
      </c>
      <c r="AG20" s="25" t="s">
        <v>29</v>
      </c>
      <c r="AH20" s="25" t="s">
        <v>32</v>
      </c>
      <c r="AI20" s="25" t="s">
        <v>66</v>
      </c>
      <c r="AJ20" s="344" t="s">
        <v>41</v>
      </c>
      <c r="AK20" s="12"/>
      <c r="AL20" s="25" t="s">
        <v>38</v>
      </c>
      <c r="AM20" s="25" t="s">
        <v>39</v>
      </c>
      <c r="AN20" s="25" t="s">
        <v>14</v>
      </c>
      <c r="AO20" s="25" t="s">
        <v>30</v>
      </c>
      <c r="AP20" s="25" t="s">
        <v>32</v>
      </c>
      <c r="AQ20" s="12" t="s">
        <v>12</v>
      </c>
      <c r="AR20" s="25" t="s">
        <v>36</v>
      </c>
      <c r="AS20" s="344" t="s">
        <v>40</v>
      </c>
      <c r="AT20" s="358">
        <f t="shared" si="0"/>
        <v>6</v>
      </c>
      <c r="AU20" s="358">
        <f t="shared" si="1"/>
        <v>5</v>
      </c>
      <c r="AV20" s="358">
        <f t="shared" si="2"/>
        <v>5</v>
      </c>
      <c r="AW20" s="358">
        <f t="shared" si="3"/>
        <v>2</v>
      </c>
      <c r="AX20" s="358">
        <f t="shared" si="4"/>
        <v>2</v>
      </c>
      <c r="AY20" s="358">
        <f t="shared" si="5"/>
        <v>3</v>
      </c>
      <c r="AZ20" s="358">
        <f t="shared" si="6"/>
        <v>3</v>
      </c>
      <c r="BA20" s="358">
        <f t="shared" si="7"/>
        <v>3</v>
      </c>
      <c r="BB20" s="358">
        <f t="shared" si="8"/>
        <v>1</v>
      </c>
      <c r="BC20" s="358">
        <f t="shared" si="9"/>
        <v>1</v>
      </c>
      <c r="BD20" s="358">
        <f t="shared" si="10"/>
        <v>1</v>
      </c>
      <c r="BE20" s="358">
        <f t="shared" si="11"/>
        <v>1</v>
      </c>
      <c r="BF20" s="358">
        <f t="shared" si="12"/>
        <v>1</v>
      </c>
      <c r="BG20" s="358">
        <f t="shared" si="13"/>
        <v>1</v>
      </c>
      <c r="BH20" s="358">
        <f t="shared" si="14"/>
        <v>1</v>
      </c>
      <c r="BI20" s="358">
        <f t="shared" si="15"/>
        <v>0</v>
      </c>
    </row>
    <row r="21" s="26" customFormat="1" ht="47.1" customHeight="1" spans="1:61">
      <c r="A21" s="343" t="s">
        <v>68</v>
      </c>
      <c r="B21" s="25" t="s">
        <v>12</v>
      </c>
      <c r="C21" s="25" t="s">
        <v>32</v>
      </c>
      <c r="D21" s="25" t="s">
        <v>35</v>
      </c>
      <c r="E21" s="25" t="s">
        <v>36</v>
      </c>
      <c r="F21" s="25" t="s">
        <v>14</v>
      </c>
      <c r="G21" s="25" t="s">
        <v>29</v>
      </c>
      <c r="H21" s="12" t="s">
        <v>33</v>
      </c>
      <c r="I21" s="344" t="s">
        <v>34</v>
      </c>
      <c r="J21" s="12"/>
      <c r="K21" s="25" t="s">
        <v>32</v>
      </c>
      <c r="L21" s="25" t="s">
        <v>69</v>
      </c>
      <c r="M21" s="25" t="s">
        <v>29</v>
      </c>
      <c r="N21" s="25" t="s">
        <v>12</v>
      </c>
      <c r="O21" s="25" t="s">
        <v>12</v>
      </c>
      <c r="P21" s="25" t="s">
        <v>38</v>
      </c>
      <c r="Q21" s="25" t="s">
        <v>14</v>
      </c>
      <c r="R21" s="344" t="s">
        <v>37</v>
      </c>
      <c r="S21" s="37"/>
      <c r="T21" s="25" t="s">
        <v>43</v>
      </c>
      <c r="U21" s="25" t="s">
        <v>36</v>
      </c>
      <c r="V21" s="25" t="s">
        <v>12</v>
      </c>
      <c r="W21" s="25" t="s">
        <v>14</v>
      </c>
      <c r="X21" s="25" t="s">
        <v>26</v>
      </c>
      <c r="Y21" s="25" t="s">
        <v>35</v>
      </c>
      <c r="Z21" s="25" t="s">
        <v>30</v>
      </c>
      <c r="AA21" s="25" t="s">
        <v>32</v>
      </c>
      <c r="AB21" s="37"/>
      <c r="AC21" s="25" t="s">
        <v>12</v>
      </c>
      <c r="AD21" s="360" t="s">
        <v>30</v>
      </c>
      <c r="AE21" s="360" t="s">
        <v>14</v>
      </c>
      <c r="AF21" s="25" t="s">
        <v>32</v>
      </c>
      <c r="AG21" s="25" t="s">
        <v>69</v>
      </c>
      <c r="AH21" s="25" t="s">
        <v>31</v>
      </c>
      <c r="AI21" s="25" t="s">
        <v>33</v>
      </c>
      <c r="AJ21" s="344" t="s">
        <v>41</v>
      </c>
      <c r="AK21" s="37"/>
      <c r="AL21" s="25" t="s">
        <v>14</v>
      </c>
      <c r="AM21" s="25" t="s">
        <v>32</v>
      </c>
      <c r="AN21" s="25" t="s">
        <v>39</v>
      </c>
      <c r="AO21" s="25" t="s">
        <v>29</v>
      </c>
      <c r="AP21" s="25" t="s">
        <v>40</v>
      </c>
      <c r="AQ21" s="25" t="s">
        <v>33</v>
      </c>
      <c r="AR21" s="25" t="s">
        <v>12</v>
      </c>
      <c r="AS21" s="344" t="s">
        <v>30</v>
      </c>
      <c r="AT21" s="358">
        <f t="shared" si="0"/>
        <v>6</v>
      </c>
      <c r="AU21" s="358">
        <f t="shared" si="1"/>
        <v>5</v>
      </c>
      <c r="AV21" s="358">
        <f t="shared" si="2"/>
        <v>5</v>
      </c>
      <c r="AW21" s="358">
        <f t="shared" si="3"/>
        <v>2</v>
      </c>
      <c r="AX21" s="358">
        <f t="shared" si="4"/>
        <v>2</v>
      </c>
      <c r="AY21" s="358">
        <f t="shared" si="5"/>
        <v>3</v>
      </c>
      <c r="AZ21" s="358">
        <f t="shared" si="6"/>
        <v>3</v>
      </c>
      <c r="BA21" s="358">
        <f t="shared" si="7"/>
        <v>3</v>
      </c>
      <c r="BB21" s="358">
        <f t="shared" si="8"/>
        <v>1</v>
      </c>
      <c r="BC21" s="358">
        <f t="shared" si="9"/>
        <v>1</v>
      </c>
      <c r="BD21" s="358">
        <f t="shared" si="10"/>
        <v>1</v>
      </c>
      <c r="BE21" s="358">
        <f t="shared" si="11"/>
        <v>1</v>
      </c>
      <c r="BF21" s="358">
        <f t="shared" si="12"/>
        <v>1</v>
      </c>
      <c r="BG21" s="358">
        <f t="shared" si="13"/>
        <v>1</v>
      </c>
      <c r="BH21" s="358">
        <f t="shared" si="14"/>
        <v>1</v>
      </c>
      <c r="BI21" s="358">
        <f t="shared" si="15"/>
        <v>0</v>
      </c>
    </row>
    <row r="22" s="26" customFormat="1" ht="47.1" customHeight="1" spans="1:61">
      <c r="A22" s="343" t="s">
        <v>70</v>
      </c>
      <c r="B22" s="25" t="s">
        <v>31</v>
      </c>
      <c r="C22" s="25" t="s">
        <v>14</v>
      </c>
      <c r="D22" s="25" t="s">
        <v>12</v>
      </c>
      <c r="E22" s="25" t="s">
        <v>33</v>
      </c>
      <c r="F22" s="12" t="s">
        <v>32</v>
      </c>
      <c r="G22" s="25" t="s">
        <v>30</v>
      </c>
      <c r="H22" s="25" t="s">
        <v>38</v>
      </c>
      <c r="I22" s="344" t="s">
        <v>34</v>
      </c>
      <c r="J22" s="37"/>
      <c r="K22" s="25" t="s">
        <v>12</v>
      </c>
      <c r="L22" s="25" t="s">
        <v>12</v>
      </c>
      <c r="M22" s="25" t="s">
        <v>35</v>
      </c>
      <c r="N22" s="25" t="s">
        <v>32</v>
      </c>
      <c r="O22" s="25" t="s">
        <v>69</v>
      </c>
      <c r="P22" s="25" t="s">
        <v>14</v>
      </c>
      <c r="Q22" s="25" t="s">
        <v>30</v>
      </c>
      <c r="R22" s="344" t="s">
        <v>37</v>
      </c>
      <c r="S22" s="12"/>
      <c r="T22" s="25" t="s">
        <v>14</v>
      </c>
      <c r="U22" s="25" t="s">
        <v>26</v>
      </c>
      <c r="V22" s="25" t="s">
        <v>29</v>
      </c>
      <c r="W22" s="25" t="s">
        <v>36</v>
      </c>
      <c r="X22" s="25" t="s">
        <v>12</v>
      </c>
      <c r="Y22" s="25" t="s">
        <v>33</v>
      </c>
      <c r="Z22" s="25" t="s">
        <v>32</v>
      </c>
      <c r="AA22" s="25" t="s">
        <v>30</v>
      </c>
      <c r="AB22" s="37"/>
      <c r="AC22" s="25" t="s">
        <v>32</v>
      </c>
      <c r="AD22" s="25" t="s">
        <v>69</v>
      </c>
      <c r="AE22" s="25" t="s">
        <v>12</v>
      </c>
      <c r="AF22" s="25" t="s">
        <v>29</v>
      </c>
      <c r="AG22" s="25" t="s">
        <v>14</v>
      </c>
      <c r="AH22" s="25" t="s">
        <v>40</v>
      </c>
      <c r="AI22" s="25" t="s">
        <v>39</v>
      </c>
      <c r="AJ22" s="344" t="s">
        <v>41</v>
      </c>
      <c r="AK22" s="25"/>
      <c r="AL22" s="25" t="s">
        <v>29</v>
      </c>
      <c r="AM22" s="25" t="s">
        <v>35</v>
      </c>
      <c r="AN22" s="25" t="s">
        <v>33</v>
      </c>
      <c r="AO22" s="25" t="s">
        <v>14</v>
      </c>
      <c r="AP22" s="25" t="s">
        <v>32</v>
      </c>
      <c r="AQ22" s="25" t="s">
        <v>12</v>
      </c>
      <c r="AR22" s="25" t="s">
        <v>36</v>
      </c>
      <c r="AS22" s="344" t="s">
        <v>43</v>
      </c>
      <c r="AT22" s="358">
        <f t="shared" si="0"/>
        <v>6</v>
      </c>
      <c r="AU22" s="358">
        <f t="shared" si="1"/>
        <v>5</v>
      </c>
      <c r="AV22" s="358">
        <f t="shared" si="2"/>
        <v>5</v>
      </c>
      <c r="AW22" s="358">
        <f t="shared" si="3"/>
        <v>2</v>
      </c>
      <c r="AX22" s="358">
        <f t="shared" si="4"/>
        <v>2</v>
      </c>
      <c r="AY22" s="358">
        <f t="shared" si="5"/>
        <v>3</v>
      </c>
      <c r="AZ22" s="358">
        <f t="shared" si="6"/>
        <v>3</v>
      </c>
      <c r="BA22" s="358">
        <f t="shared" si="7"/>
        <v>3</v>
      </c>
      <c r="BB22" s="358">
        <f t="shared" si="8"/>
        <v>1</v>
      </c>
      <c r="BC22" s="358">
        <f t="shared" si="9"/>
        <v>1</v>
      </c>
      <c r="BD22" s="358">
        <f t="shared" si="10"/>
        <v>1</v>
      </c>
      <c r="BE22" s="358">
        <f t="shared" si="11"/>
        <v>1</v>
      </c>
      <c r="BF22" s="358">
        <f t="shared" si="12"/>
        <v>1</v>
      </c>
      <c r="BG22" s="358">
        <f t="shared" si="13"/>
        <v>1</v>
      </c>
      <c r="BH22" s="358">
        <f t="shared" si="14"/>
        <v>1</v>
      </c>
      <c r="BI22" s="358">
        <f t="shared" si="15"/>
        <v>0</v>
      </c>
    </row>
    <row r="23" s="7" customFormat="1" ht="47.1" customHeight="1" spans="1:61">
      <c r="A23" s="343" t="s">
        <v>71</v>
      </c>
      <c r="B23" s="25" t="s">
        <v>14</v>
      </c>
      <c r="C23" s="25" t="s">
        <v>32</v>
      </c>
      <c r="D23" s="360" t="s">
        <v>36</v>
      </c>
      <c r="E23" s="25" t="s">
        <v>29</v>
      </c>
      <c r="F23" s="25" t="s">
        <v>12</v>
      </c>
      <c r="G23" s="25" t="s">
        <v>33</v>
      </c>
      <c r="H23" s="25" t="s">
        <v>43</v>
      </c>
      <c r="I23" s="344" t="s">
        <v>34</v>
      </c>
      <c r="J23" s="37"/>
      <c r="K23" s="25" t="s">
        <v>29</v>
      </c>
      <c r="L23" s="25" t="s">
        <v>12</v>
      </c>
      <c r="M23" s="25" t="s">
        <v>12</v>
      </c>
      <c r="N23" s="25" t="s">
        <v>35</v>
      </c>
      <c r="O23" s="25" t="s">
        <v>14</v>
      </c>
      <c r="P23" s="25" t="s">
        <v>32</v>
      </c>
      <c r="Q23" s="25" t="s">
        <v>72</v>
      </c>
      <c r="R23" s="344" t="s">
        <v>37</v>
      </c>
      <c r="S23" s="12"/>
      <c r="T23" s="25" t="s">
        <v>29</v>
      </c>
      <c r="U23" s="25" t="s">
        <v>12</v>
      </c>
      <c r="V23" s="360" t="s">
        <v>30</v>
      </c>
      <c r="W23" s="25" t="s">
        <v>14</v>
      </c>
      <c r="X23" s="25" t="s">
        <v>26</v>
      </c>
      <c r="Y23" s="25" t="s">
        <v>32</v>
      </c>
      <c r="Z23" s="25" t="s">
        <v>33</v>
      </c>
      <c r="AA23" s="25" t="s">
        <v>39</v>
      </c>
      <c r="AB23" s="12"/>
      <c r="AC23" s="25" t="s">
        <v>32</v>
      </c>
      <c r="AD23" s="25" t="s">
        <v>35</v>
      </c>
      <c r="AE23" s="25" t="s">
        <v>38</v>
      </c>
      <c r="AF23" s="25" t="s">
        <v>12</v>
      </c>
      <c r="AG23" s="25" t="s">
        <v>14</v>
      </c>
      <c r="AH23" s="25" t="s">
        <v>36</v>
      </c>
      <c r="AI23" s="25" t="s">
        <v>30</v>
      </c>
      <c r="AJ23" s="344" t="s">
        <v>41</v>
      </c>
      <c r="AK23" s="12"/>
      <c r="AL23" s="25" t="s">
        <v>31</v>
      </c>
      <c r="AM23" s="25" t="s">
        <v>33</v>
      </c>
      <c r="AN23" s="25" t="s">
        <v>14</v>
      </c>
      <c r="AO23" s="25" t="s">
        <v>40</v>
      </c>
      <c r="AP23" s="25" t="s">
        <v>30</v>
      </c>
      <c r="AQ23" s="25" t="s">
        <v>32</v>
      </c>
      <c r="AR23" s="25" t="s">
        <v>72</v>
      </c>
      <c r="AS23" s="344" t="s">
        <v>12</v>
      </c>
      <c r="AT23" s="358">
        <f t="shared" si="0"/>
        <v>6</v>
      </c>
      <c r="AU23" s="358">
        <f t="shared" si="1"/>
        <v>5</v>
      </c>
      <c r="AV23" s="358">
        <f t="shared" si="2"/>
        <v>5</v>
      </c>
      <c r="AW23" s="358">
        <f t="shared" si="3"/>
        <v>2</v>
      </c>
      <c r="AX23" s="358">
        <f t="shared" si="4"/>
        <v>2</v>
      </c>
      <c r="AY23" s="358">
        <f t="shared" si="5"/>
        <v>3</v>
      </c>
      <c r="AZ23" s="358">
        <f t="shared" si="6"/>
        <v>3</v>
      </c>
      <c r="BA23" s="358">
        <f t="shared" si="7"/>
        <v>3</v>
      </c>
      <c r="BB23" s="358">
        <f t="shared" si="8"/>
        <v>1</v>
      </c>
      <c r="BC23" s="358">
        <f t="shared" si="9"/>
        <v>1</v>
      </c>
      <c r="BD23" s="358">
        <f t="shared" si="10"/>
        <v>1</v>
      </c>
      <c r="BE23" s="358">
        <f t="shared" si="11"/>
        <v>1</v>
      </c>
      <c r="BF23" s="358">
        <f t="shared" si="12"/>
        <v>1</v>
      </c>
      <c r="BG23" s="358">
        <f t="shared" si="13"/>
        <v>1</v>
      </c>
      <c r="BH23" s="358">
        <f t="shared" si="14"/>
        <v>1</v>
      </c>
      <c r="BI23" s="358">
        <f t="shared" si="15"/>
        <v>0</v>
      </c>
    </row>
    <row r="24" s="7" customFormat="1" ht="47.1" customHeight="1" spans="1:61">
      <c r="A24" s="343" t="s">
        <v>73</v>
      </c>
      <c r="B24" s="25" t="s">
        <v>32</v>
      </c>
      <c r="C24" s="360" t="s">
        <v>38</v>
      </c>
      <c r="D24" s="25" t="s">
        <v>14</v>
      </c>
      <c r="E24" s="25" t="s">
        <v>12</v>
      </c>
      <c r="F24" s="25" t="s">
        <v>29</v>
      </c>
      <c r="G24" s="25" t="s">
        <v>35</v>
      </c>
      <c r="H24" s="25" t="s">
        <v>33</v>
      </c>
      <c r="I24" s="344" t="s">
        <v>34</v>
      </c>
      <c r="J24" s="12"/>
      <c r="K24" s="360" t="s">
        <v>33</v>
      </c>
      <c r="L24" s="25" t="s">
        <v>72</v>
      </c>
      <c r="M24" s="25" t="s">
        <v>32</v>
      </c>
      <c r="N24" s="25" t="s">
        <v>14</v>
      </c>
      <c r="O24" s="25" t="s">
        <v>36</v>
      </c>
      <c r="P24" s="25" t="s">
        <v>12</v>
      </c>
      <c r="Q24" s="25" t="s">
        <v>12</v>
      </c>
      <c r="R24" s="344" t="s">
        <v>37</v>
      </c>
      <c r="S24" s="12"/>
      <c r="T24" s="25" t="s">
        <v>26</v>
      </c>
      <c r="U24" s="25" t="s">
        <v>14</v>
      </c>
      <c r="V24" s="25" t="s">
        <v>12</v>
      </c>
      <c r="W24" s="360" t="s">
        <v>31</v>
      </c>
      <c r="X24" s="25" t="s">
        <v>30</v>
      </c>
      <c r="Y24" s="12" t="s">
        <v>43</v>
      </c>
      <c r="Z24" s="25" t="s">
        <v>32</v>
      </c>
      <c r="AA24" s="360" t="s">
        <v>36</v>
      </c>
      <c r="AB24" s="12"/>
      <c r="AC24" s="25" t="s">
        <v>12</v>
      </c>
      <c r="AD24" s="360" t="s">
        <v>14</v>
      </c>
      <c r="AE24" s="360" t="s">
        <v>30</v>
      </c>
      <c r="AF24" s="25" t="s">
        <v>32</v>
      </c>
      <c r="AG24" s="360" t="s">
        <v>40</v>
      </c>
      <c r="AH24" s="360" t="s">
        <v>35</v>
      </c>
      <c r="AI24" s="25" t="s">
        <v>29</v>
      </c>
      <c r="AJ24" s="344" t="s">
        <v>41</v>
      </c>
      <c r="AK24" s="12"/>
      <c r="AL24" s="25" t="s">
        <v>32</v>
      </c>
      <c r="AM24" s="25" t="s">
        <v>72</v>
      </c>
      <c r="AN24" s="25" t="s">
        <v>29</v>
      </c>
      <c r="AO24" s="360" t="s">
        <v>39</v>
      </c>
      <c r="AP24" s="25" t="s">
        <v>14</v>
      </c>
      <c r="AQ24" s="25" t="s">
        <v>12</v>
      </c>
      <c r="AR24" s="25" t="s">
        <v>30</v>
      </c>
      <c r="AS24" s="344" t="s">
        <v>33</v>
      </c>
      <c r="AT24" s="358">
        <f t="shared" si="0"/>
        <v>6</v>
      </c>
      <c r="AU24" s="358">
        <f t="shared" si="1"/>
        <v>5</v>
      </c>
      <c r="AV24" s="358">
        <f t="shared" si="2"/>
        <v>5</v>
      </c>
      <c r="AW24" s="358">
        <f t="shared" si="3"/>
        <v>2</v>
      </c>
      <c r="AX24" s="358">
        <f t="shared" si="4"/>
        <v>2</v>
      </c>
      <c r="AY24" s="358">
        <f t="shared" si="5"/>
        <v>3</v>
      </c>
      <c r="AZ24" s="358">
        <f t="shared" si="6"/>
        <v>3</v>
      </c>
      <c r="BA24" s="358">
        <f t="shared" si="7"/>
        <v>3</v>
      </c>
      <c r="BB24" s="358">
        <f t="shared" si="8"/>
        <v>1</v>
      </c>
      <c r="BC24" s="358">
        <f t="shared" si="9"/>
        <v>1</v>
      </c>
      <c r="BD24" s="358">
        <f t="shared" si="10"/>
        <v>1</v>
      </c>
      <c r="BE24" s="358">
        <f t="shared" si="11"/>
        <v>1</v>
      </c>
      <c r="BF24" s="358">
        <f t="shared" si="12"/>
        <v>1</v>
      </c>
      <c r="BG24" s="358">
        <f t="shared" si="13"/>
        <v>1</v>
      </c>
      <c r="BH24" s="358">
        <f t="shared" si="14"/>
        <v>1</v>
      </c>
      <c r="BI24" s="358">
        <f t="shared" si="15"/>
        <v>0</v>
      </c>
    </row>
    <row r="25" s="7" customFormat="1" ht="47.1" customHeight="1" spans="1:61">
      <c r="A25" s="343" t="s">
        <v>74</v>
      </c>
      <c r="B25" s="25" t="s">
        <v>33</v>
      </c>
      <c r="C25" s="25" t="s">
        <v>14</v>
      </c>
      <c r="D25" s="25" t="s">
        <v>43</v>
      </c>
      <c r="E25" s="25" t="s">
        <v>12</v>
      </c>
      <c r="F25" s="25" t="s">
        <v>32</v>
      </c>
      <c r="G25" s="25" t="s">
        <v>38</v>
      </c>
      <c r="H25" s="25" t="s">
        <v>30</v>
      </c>
      <c r="I25" s="344" t="s">
        <v>34</v>
      </c>
      <c r="J25" s="37"/>
      <c r="K25" s="25" t="s">
        <v>32</v>
      </c>
      <c r="L25" s="25" t="s">
        <v>75</v>
      </c>
      <c r="M25" s="25" t="s">
        <v>29</v>
      </c>
      <c r="N25" s="25" t="s">
        <v>33</v>
      </c>
      <c r="O25" s="25" t="s">
        <v>14</v>
      </c>
      <c r="P25" s="25" t="s">
        <v>12</v>
      </c>
      <c r="Q25" s="25" t="s">
        <v>12</v>
      </c>
      <c r="R25" s="344" t="s">
        <v>37</v>
      </c>
      <c r="S25" s="12"/>
      <c r="T25" s="12" t="s">
        <v>39</v>
      </c>
      <c r="U25" s="25" t="s">
        <v>36</v>
      </c>
      <c r="V25" s="25" t="s">
        <v>12</v>
      </c>
      <c r="W25" s="25" t="s">
        <v>14</v>
      </c>
      <c r="X25" s="25" t="s">
        <v>26</v>
      </c>
      <c r="Y25" s="25" t="s">
        <v>35</v>
      </c>
      <c r="Z25" s="25" t="s">
        <v>32</v>
      </c>
      <c r="AA25" s="25" t="s">
        <v>30</v>
      </c>
      <c r="AB25" s="37"/>
      <c r="AC25" s="25" t="s">
        <v>29</v>
      </c>
      <c r="AD25" s="25" t="s">
        <v>12</v>
      </c>
      <c r="AE25" s="360" t="s">
        <v>14</v>
      </c>
      <c r="AF25" s="360" t="s">
        <v>33</v>
      </c>
      <c r="AG25" s="362" t="s">
        <v>36</v>
      </c>
      <c r="AH25" s="360" t="s">
        <v>32</v>
      </c>
      <c r="AI25" s="360" t="s">
        <v>75</v>
      </c>
      <c r="AJ25" s="344" t="s">
        <v>41</v>
      </c>
      <c r="AK25" s="37"/>
      <c r="AL25" s="25" t="s">
        <v>32</v>
      </c>
      <c r="AM25" s="25" t="s">
        <v>14</v>
      </c>
      <c r="AN25" s="25" t="s">
        <v>30</v>
      </c>
      <c r="AO25" s="25" t="s">
        <v>29</v>
      </c>
      <c r="AP25" s="25" t="s">
        <v>35</v>
      </c>
      <c r="AR25" s="25" t="s">
        <v>31</v>
      </c>
      <c r="AS25" s="25" t="s">
        <v>12</v>
      </c>
      <c r="AT25" s="358">
        <f t="shared" si="0"/>
        <v>6</v>
      </c>
      <c r="AU25" s="358">
        <f t="shared" si="1"/>
        <v>5</v>
      </c>
      <c r="AV25" s="358">
        <f t="shared" si="2"/>
        <v>5</v>
      </c>
      <c r="AW25" s="358">
        <f t="shared" si="3"/>
        <v>2</v>
      </c>
      <c r="AX25" s="358">
        <f t="shared" si="4"/>
        <v>2</v>
      </c>
      <c r="AY25" s="358">
        <f t="shared" si="5"/>
        <v>3</v>
      </c>
      <c r="AZ25" s="358">
        <f t="shared" si="6"/>
        <v>3</v>
      </c>
      <c r="BA25" s="358">
        <f t="shared" si="7"/>
        <v>3</v>
      </c>
      <c r="BB25" s="358">
        <f t="shared" si="8"/>
        <v>1</v>
      </c>
      <c r="BC25" s="358">
        <f t="shared" si="9"/>
        <v>1</v>
      </c>
      <c r="BD25" s="358">
        <f t="shared" si="10"/>
        <v>1</v>
      </c>
      <c r="BE25" s="358">
        <f t="shared" si="11"/>
        <v>1</v>
      </c>
      <c r="BF25" s="358">
        <f t="shared" si="12"/>
        <v>1</v>
      </c>
      <c r="BG25" s="358">
        <f t="shared" si="13"/>
        <v>0</v>
      </c>
      <c r="BH25" s="358">
        <f t="shared" si="14"/>
        <v>1</v>
      </c>
      <c r="BI25" s="358">
        <f t="shared" si="15"/>
        <v>0</v>
      </c>
    </row>
    <row r="26" s="7" customFormat="1" ht="47.1" customHeight="1" spans="1:61">
      <c r="A26" s="343" t="s">
        <v>76</v>
      </c>
      <c r="B26" s="25" t="s">
        <v>14</v>
      </c>
      <c r="C26" s="25" t="s">
        <v>32</v>
      </c>
      <c r="D26" s="25" t="s">
        <v>29</v>
      </c>
      <c r="E26" s="25" t="s">
        <v>30</v>
      </c>
      <c r="F26" s="25" t="s">
        <v>31</v>
      </c>
      <c r="G26" s="25" t="s">
        <v>12</v>
      </c>
      <c r="H26" s="25" t="s">
        <v>39</v>
      </c>
      <c r="I26" s="344" t="s">
        <v>34</v>
      </c>
      <c r="J26" s="37"/>
      <c r="K26" s="25" t="s">
        <v>12</v>
      </c>
      <c r="L26" s="25" t="s">
        <v>12</v>
      </c>
      <c r="M26" s="25" t="s">
        <v>35</v>
      </c>
      <c r="N26" s="25" t="s">
        <v>14</v>
      </c>
      <c r="O26" s="25" t="s">
        <v>33</v>
      </c>
      <c r="P26" s="25" t="s">
        <v>32</v>
      </c>
      <c r="Q26" s="25" t="s">
        <v>75</v>
      </c>
      <c r="R26" s="344" t="s">
        <v>37</v>
      </c>
      <c r="S26" s="12"/>
      <c r="T26" s="25" t="s">
        <v>26</v>
      </c>
      <c r="U26" s="25" t="s">
        <v>14</v>
      </c>
      <c r="V26" s="25" t="s">
        <v>30</v>
      </c>
      <c r="W26" s="25" t="s">
        <v>12</v>
      </c>
      <c r="X26" s="12" t="s">
        <v>36</v>
      </c>
      <c r="Y26" s="25" t="s">
        <v>33</v>
      </c>
      <c r="Z26" s="25" t="s">
        <v>29</v>
      </c>
      <c r="AA26" s="25" t="s">
        <v>32</v>
      </c>
      <c r="AB26" s="12"/>
      <c r="AC26" s="25" t="s">
        <v>12</v>
      </c>
      <c r="AD26" s="360" t="s">
        <v>32</v>
      </c>
      <c r="AE26" s="360" t="s">
        <v>75</v>
      </c>
      <c r="AF26" s="25" t="s">
        <v>29</v>
      </c>
      <c r="AG26" s="360" t="s">
        <v>43</v>
      </c>
      <c r="AH26" s="360" t="s">
        <v>14</v>
      </c>
      <c r="AI26" s="360" t="s">
        <v>40</v>
      </c>
      <c r="AJ26" s="344" t="s">
        <v>41</v>
      </c>
      <c r="AK26" s="37"/>
      <c r="AL26" s="25" t="s">
        <v>33</v>
      </c>
      <c r="AM26" s="25" t="s">
        <v>38</v>
      </c>
      <c r="AN26" s="25" t="s">
        <v>32</v>
      </c>
      <c r="AO26" s="25" t="s">
        <v>35</v>
      </c>
      <c r="AP26" s="25" t="s">
        <v>14</v>
      </c>
      <c r="AQ26" s="25" t="s">
        <v>12</v>
      </c>
      <c r="AR26" s="25" t="s">
        <v>30</v>
      </c>
      <c r="AS26" s="25" t="s">
        <v>36</v>
      </c>
      <c r="AT26" s="358">
        <f t="shared" si="0"/>
        <v>6</v>
      </c>
      <c r="AU26" s="358">
        <f t="shared" si="1"/>
        <v>5</v>
      </c>
      <c r="AV26" s="358">
        <f t="shared" si="2"/>
        <v>5</v>
      </c>
      <c r="AW26" s="358">
        <f t="shared" si="3"/>
        <v>2</v>
      </c>
      <c r="AX26" s="358">
        <f t="shared" si="4"/>
        <v>2</v>
      </c>
      <c r="AY26" s="358">
        <f t="shared" si="5"/>
        <v>3</v>
      </c>
      <c r="AZ26" s="358">
        <f t="shared" si="6"/>
        <v>3</v>
      </c>
      <c r="BA26" s="358">
        <f t="shared" si="7"/>
        <v>3</v>
      </c>
      <c r="BB26" s="358">
        <f t="shared" si="8"/>
        <v>1</v>
      </c>
      <c r="BC26" s="358">
        <f t="shared" si="9"/>
        <v>1</v>
      </c>
      <c r="BD26" s="358">
        <f t="shared" si="10"/>
        <v>1</v>
      </c>
      <c r="BE26" s="358">
        <f t="shared" si="11"/>
        <v>1</v>
      </c>
      <c r="BF26" s="358">
        <f t="shared" si="12"/>
        <v>1</v>
      </c>
      <c r="BG26" s="358">
        <f t="shared" si="13"/>
        <v>1</v>
      </c>
      <c r="BH26" s="358">
        <f t="shared" si="14"/>
        <v>1</v>
      </c>
      <c r="BI26" s="358">
        <f t="shared" si="15"/>
        <v>0</v>
      </c>
    </row>
    <row r="27" s="7" customFormat="1" ht="47.1" customHeight="1" spans="1:61">
      <c r="A27" s="343" t="s">
        <v>77</v>
      </c>
      <c r="B27" s="25" t="s">
        <v>14</v>
      </c>
      <c r="C27" s="25" t="s">
        <v>29</v>
      </c>
      <c r="D27" s="25" t="s">
        <v>32</v>
      </c>
      <c r="E27" s="25" t="s">
        <v>12</v>
      </c>
      <c r="F27" s="25" t="s">
        <v>30</v>
      </c>
      <c r="G27" s="25" t="s">
        <v>33</v>
      </c>
      <c r="H27" s="25" t="s">
        <v>35</v>
      </c>
      <c r="I27" s="344" t="s">
        <v>34</v>
      </c>
      <c r="J27" s="12"/>
      <c r="K27" s="25" t="s">
        <v>32</v>
      </c>
      <c r="L27" s="25" t="s">
        <v>78</v>
      </c>
      <c r="M27" s="25" t="s">
        <v>14</v>
      </c>
      <c r="N27" s="25" t="s">
        <v>33</v>
      </c>
      <c r="O27" s="25" t="s">
        <v>29</v>
      </c>
      <c r="P27" s="25" t="s">
        <v>12</v>
      </c>
      <c r="Q27" s="25" t="s">
        <v>12</v>
      </c>
      <c r="R27" s="344" t="s">
        <v>37</v>
      </c>
      <c r="S27" s="12"/>
      <c r="T27" s="25" t="s">
        <v>36</v>
      </c>
      <c r="U27" s="25" t="s">
        <v>40</v>
      </c>
      <c r="V27" s="25" t="s">
        <v>12</v>
      </c>
      <c r="W27" s="25" t="s">
        <v>14</v>
      </c>
      <c r="X27" s="25" t="s">
        <v>26</v>
      </c>
      <c r="Y27" s="25" t="s">
        <v>32</v>
      </c>
      <c r="Z27" s="25" t="s">
        <v>38</v>
      </c>
      <c r="AA27" s="25" t="s">
        <v>35</v>
      </c>
      <c r="AB27" s="12"/>
      <c r="AC27" s="25" t="s">
        <v>29</v>
      </c>
      <c r="AD27" s="25" t="s">
        <v>14</v>
      </c>
      <c r="AE27" s="25" t="s">
        <v>43</v>
      </c>
      <c r="AF27" s="25" t="s">
        <v>12</v>
      </c>
      <c r="AG27" s="344" t="s">
        <v>31</v>
      </c>
      <c r="AH27" s="25" t="s">
        <v>32</v>
      </c>
      <c r="AI27" s="12" t="s">
        <v>30</v>
      </c>
      <c r="AJ27" s="344" t="s">
        <v>41</v>
      </c>
      <c r="AK27" s="12"/>
      <c r="AL27" s="25" t="s">
        <v>39</v>
      </c>
      <c r="AM27" s="25" t="s">
        <v>14</v>
      </c>
      <c r="AN27" s="25" t="s">
        <v>33</v>
      </c>
      <c r="AO27" s="25" t="s">
        <v>32</v>
      </c>
      <c r="AP27" s="25" t="s">
        <v>78</v>
      </c>
      <c r="AQ27" s="25" t="s">
        <v>36</v>
      </c>
      <c r="AR27" s="25" t="s">
        <v>12</v>
      </c>
      <c r="AS27" s="25" t="s">
        <v>30</v>
      </c>
      <c r="AT27" s="358">
        <f t="shared" si="0"/>
        <v>6</v>
      </c>
      <c r="AU27" s="358">
        <f t="shared" si="1"/>
        <v>5</v>
      </c>
      <c r="AV27" s="358">
        <f t="shared" si="2"/>
        <v>5</v>
      </c>
      <c r="AW27" s="358">
        <f t="shared" si="3"/>
        <v>2</v>
      </c>
      <c r="AX27" s="358">
        <f t="shared" si="4"/>
        <v>2</v>
      </c>
      <c r="AY27" s="358">
        <f t="shared" si="5"/>
        <v>3</v>
      </c>
      <c r="AZ27" s="358">
        <f t="shared" si="6"/>
        <v>3</v>
      </c>
      <c r="BA27" s="358">
        <f t="shared" si="7"/>
        <v>3</v>
      </c>
      <c r="BB27" s="358">
        <f t="shared" si="8"/>
        <v>1</v>
      </c>
      <c r="BC27" s="358">
        <f t="shared" si="9"/>
        <v>1</v>
      </c>
      <c r="BD27" s="358">
        <f t="shared" si="10"/>
        <v>1</v>
      </c>
      <c r="BE27" s="358">
        <f t="shared" si="11"/>
        <v>1</v>
      </c>
      <c r="BF27" s="358">
        <f t="shared" si="12"/>
        <v>1</v>
      </c>
      <c r="BG27" s="358">
        <f t="shared" si="13"/>
        <v>1</v>
      </c>
      <c r="BH27" s="358">
        <f t="shared" si="14"/>
        <v>1</v>
      </c>
      <c r="BI27" s="358">
        <f t="shared" si="15"/>
        <v>0</v>
      </c>
    </row>
    <row r="28" s="7" customFormat="1" ht="47.1" customHeight="1" spans="1:61">
      <c r="A28" s="343" t="s">
        <v>79</v>
      </c>
      <c r="B28" s="25" t="s">
        <v>35</v>
      </c>
      <c r="C28" s="25" t="s">
        <v>14</v>
      </c>
      <c r="D28" s="25" t="s">
        <v>33</v>
      </c>
      <c r="E28" s="25" t="s">
        <v>36</v>
      </c>
      <c r="F28" s="25" t="s">
        <v>12</v>
      </c>
      <c r="G28" s="25" t="s">
        <v>29</v>
      </c>
      <c r="H28" s="25" t="s">
        <v>32</v>
      </c>
      <c r="I28" s="344" t="s">
        <v>34</v>
      </c>
      <c r="J28" s="12"/>
      <c r="K28" s="25" t="s">
        <v>31</v>
      </c>
      <c r="L28" s="25" t="s">
        <v>12</v>
      </c>
      <c r="M28" s="25" t="s">
        <v>12</v>
      </c>
      <c r="N28" s="25" t="s">
        <v>32</v>
      </c>
      <c r="O28" s="25" t="s">
        <v>78</v>
      </c>
      <c r="P28" s="25" t="s">
        <v>30</v>
      </c>
      <c r="Q28" s="25" t="s">
        <v>14</v>
      </c>
      <c r="R28" s="344" t="s">
        <v>37</v>
      </c>
      <c r="S28" s="12"/>
      <c r="T28" s="25" t="s">
        <v>14</v>
      </c>
      <c r="U28" s="25" t="s">
        <v>26</v>
      </c>
      <c r="V28" s="360" t="s">
        <v>43</v>
      </c>
      <c r="W28" s="25" t="s">
        <v>29</v>
      </c>
      <c r="X28" s="25" t="s">
        <v>12</v>
      </c>
      <c r="Y28" s="12" t="s">
        <v>33</v>
      </c>
      <c r="Z28" s="25" t="s">
        <v>35</v>
      </c>
      <c r="AA28" s="25" t="s">
        <v>32</v>
      </c>
      <c r="AB28" s="12"/>
      <c r="AC28" s="25" t="s">
        <v>12</v>
      </c>
      <c r="AD28" s="25" t="s">
        <v>30</v>
      </c>
      <c r="AE28" s="25" t="s">
        <v>36</v>
      </c>
      <c r="AF28" s="25" t="s">
        <v>14</v>
      </c>
      <c r="AG28" s="362" t="s">
        <v>39</v>
      </c>
      <c r="AH28" s="25" t="s">
        <v>33</v>
      </c>
      <c r="AI28" s="25" t="s">
        <v>32</v>
      </c>
      <c r="AJ28" s="344" t="s">
        <v>41</v>
      </c>
      <c r="AK28" s="346"/>
      <c r="AL28" s="25" t="s">
        <v>32</v>
      </c>
      <c r="AM28" s="25" t="s">
        <v>78</v>
      </c>
      <c r="AN28" s="25" t="s">
        <v>14</v>
      </c>
      <c r="AO28" s="25" t="s">
        <v>30</v>
      </c>
      <c r="AP28" s="25" t="s">
        <v>38</v>
      </c>
      <c r="AQ28" s="38" t="s">
        <v>12</v>
      </c>
      <c r="AR28" s="25" t="s">
        <v>29</v>
      </c>
      <c r="AS28" s="25" t="s">
        <v>40</v>
      </c>
      <c r="AT28" s="358">
        <f t="shared" si="0"/>
        <v>6</v>
      </c>
      <c r="AU28" s="358">
        <f t="shared" si="1"/>
        <v>5</v>
      </c>
      <c r="AV28" s="358">
        <f t="shared" si="2"/>
        <v>5</v>
      </c>
      <c r="AW28" s="358">
        <f t="shared" si="3"/>
        <v>2</v>
      </c>
      <c r="AX28" s="358">
        <f t="shared" si="4"/>
        <v>2</v>
      </c>
      <c r="AY28" s="358">
        <f t="shared" si="5"/>
        <v>3</v>
      </c>
      <c r="AZ28" s="358">
        <f t="shared" si="6"/>
        <v>3</v>
      </c>
      <c r="BA28" s="358">
        <f t="shared" si="7"/>
        <v>3</v>
      </c>
      <c r="BB28" s="358">
        <f t="shared" si="8"/>
        <v>1</v>
      </c>
      <c r="BC28" s="358">
        <f t="shared" si="9"/>
        <v>1</v>
      </c>
      <c r="BD28" s="358">
        <f t="shared" si="10"/>
        <v>1</v>
      </c>
      <c r="BE28" s="358">
        <f t="shared" si="11"/>
        <v>1</v>
      </c>
      <c r="BF28" s="358">
        <f t="shared" si="12"/>
        <v>1</v>
      </c>
      <c r="BG28" s="358">
        <f t="shared" si="13"/>
        <v>1</v>
      </c>
      <c r="BH28" s="358">
        <f t="shared" si="14"/>
        <v>1</v>
      </c>
      <c r="BI28" s="358">
        <f t="shared" si="15"/>
        <v>0</v>
      </c>
    </row>
    <row r="29" s="7" customFormat="1" ht="47.1" customHeight="1" spans="1:61">
      <c r="A29" s="343" t="s">
        <v>80</v>
      </c>
      <c r="B29" s="25" t="s">
        <v>33</v>
      </c>
      <c r="C29" s="25" t="s">
        <v>12</v>
      </c>
      <c r="D29" s="25" t="s">
        <v>38</v>
      </c>
      <c r="E29" s="25" t="s">
        <v>14</v>
      </c>
      <c r="F29" s="25" t="s">
        <v>36</v>
      </c>
      <c r="G29" s="25" t="s">
        <v>43</v>
      </c>
      <c r="H29" s="25" t="s">
        <v>32</v>
      </c>
      <c r="I29" s="344" t="s">
        <v>34</v>
      </c>
      <c r="J29" s="37"/>
      <c r="K29" s="25" t="s">
        <v>12</v>
      </c>
      <c r="L29" s="25" t="s">
        <v>12</v>
      </c>
      <c r="M29" s="25" t="s">
        <v>29</v>
      </c>
      <c r="N29" s="25" t="s">
        <v>32</v>
      </c>
      <c r="O29" s="25" t="s">
        <v>81</v>
      </c>
      <c r="P29" s="25" t="s">
        <v>14</v>
      </c>
      <c r="Q29" s="25" t="s">
        <v>35</v>
      </c>
      <c r="R29" s="344" t="s">
        <v>37</v>
      </c>
      <c r="S29" s="12"/>
      <c r="T29" s="25" t="s">
        <v>14</v>
      </c>
      <c r="U29" s="25" t="s">
        <v>26</v>
      </c>
      <c r="V29" s="25" t="s">
        <v>12</v>
      </c>
      <c r="W29" s="25" t="s">
        <v>39</v>
      </c>
      <c r="X29" s="25" t="s">
        <v>30</v>
      </c>
      <c r="Y29" s="25" t="s">
        <v>32</v>
      </c>
      <c r="Z29" s="25" t="s">
        <v>36</v>
      </c>
      <c r="AA29" s="25" t="s">
        <v>33</v>
      </c>
      <c r="AB29" s="37"/>
      <c r="AC29" s="25" t="s">
        <v>35</v>
      </c>
      <c r="AD29" s="25" t="s">
        <v>32</v>
      </c>
      <c r="AE29" s="360" t="s">
        <v>14</v>
      </c>
      <c r="AF29" s="25" t="s">
        <v>12</v>
      </c>
      <c r="AG29" s="360" t="s">
        <v>30</v>
      </c>
      <c r="AH29" s="25" t="s">
        <v>40</v>
      </c>
      <c r="AI29" s="12" t="s">
        <v>29</v>
      </c>
      <c r="AJ29" s="344" t="s">
        <v>41</v>
      </c>
      <c r="AK29" s="37"/>
      <c r="AL29" s="25" t="s">
        <v>33</v>
      </c>
      <c r="AM29" s="25" t="s">
        <v>31</v>
      </c>
      <c r="AN29" s="25" t="s">
        <v>14</v>
      </c>
      <c r="AO29" s="25" t="s">
        <v>32</v>
      </c>
      <c r="AP29" s="25" t="s">
        <v>81</v>
      </c>
      <c r="AQ29" s="25" t="s">
        <v>30</v>
      </c>
      <c r="AR29" s="25" t="s">
        <v>12</v>
      </c>
      <c r="AS29" s="25" t="s">
        <v>29</v>
      </c>
      <c r="AT29" s="358">
        <f t="shared" si="0"/>
        <v>6</v>
      </c>
      <c r="AU29" s="358">
        <f t="shared" si="1"/>
        <v>5</v>
      </c>
      <c r="AV29" s="358">
        <f t="shared" si="2"/>
        <v>5</v>
      </c>
      <c r="AW29" s="358">
        <f t="shared" si="3"/>
        <v>2</v>
      </c>
      <c r="AX29" s="358">
        <f t="shared" si="4"/>
        <v>2</v>
      </c>
      <c r="AY29" s="358">
        <f t="shared" si="5"/>
        <v>3</v>
      </c>
      <c r="AZ29" s="358">
        <f t="shared" si="6"/>
        <v>3</v>
      </c>
      <c r="BA29" s="358">
        <f t="shared" si="7"/>
        <v>3</v>
      </c>
      <c r="BB29" s="358">
        <f t="shared" si="8"/>
        <v>1</v>
      </c>
      <c r="BC29" s="358">
        <f t="shared" si="9"/>
        <v>1</v>
      </c>
      <c r="BD29" s="358">
        <f t="shared" si="10"/>
        <v>1</v>
      </c>
      <c r="BE29" s="358">
        <f t="shared" si="11"/>
        <v>1</v>
      </c>
      <c r="BF29" s="358">
        <f t="shared" si="12"/>
        <v>1</v>
      </c>
      <c r="BG29" s="358">
        <f t="shared" si="13"/>
        <v>1</v>
      </c>
      <c r="BH29" s="358">
        <f t="shared" si="14"/>
        <v>1</v>
      </c>
      <c r="BI29" s="358">
        <f t="shared" si="15"/>
        <v>0</v>
      </c>
    </row>
    <row r="30" s="7" customFormat="1" ht="47.1" customHeight="1" spans="1:61">
      <c r="A30" s="347" t="s">
        <v>82</v>
      </c>
      <c r="B30" s="38" t="s">
        <v>32</v>
      </c>
      <c r="C30" s="38" t="s">
        <v>39</v>
      </c>
      <c r="D30" s="38" t="s">
        <v>35</v>
      </c>
      <c r="E30" s="38" t="s">
        <v>30</v>
      </c>
      <c r="F30" s="38" t="s">
        <v>14</v>
      </c>
      <c r="G30" s="38" t="s">
        <v>12</v>
      </c>
      <c r="H30" s="38" t="s">
        <v>29</v>
      </c>
      <c r="I30" s="58" t="s">
        <v>34</v>
      </c>
      <c r="J30" s="42"/>
      <c r="K30" s="38" t="s">
        <v>32</v>
      </c>
      <c r="L30" s="38" t="s">
        <v>81</v>
      </c>
      <c r="M30" s="42" t="s">
        <v>14</v>
      </c>
      <c r="N30" s="38" t="s">
        <v>12</v>
      </c>
      <c r="O30" s="38" t="s">
        <v>12</v>
      </c>
      <c r="P30" s="38" t="s">
        <v>33</v>
      </c>
      <c r="Q30" s="38" t="s">
        <v>31</v>
      </c>
      <c r="R30" s="58" t="s">
        <v>37</v>
      </c>
      <c r="S30" s="42"/>
      <c r="T30" s="38" t="s">
        <v>29</v>
      </c>
      <c r="U30" s="38" t="s">
        <v>12</v>
      </c>
      <c r="V30" s="38" t="s">
        <v>36</v>
      </c>
      <c r="W30" s="38" t="s">
        <v>14</v>
      </c>
      <c r="X30" s="38" t="s">
        <v>26</v>
      </c>
      <c r="Y30" s="38" t="s">
        <v>38</v>
      </c>
      <c r="Z30" s="38" t="s">
        <v>30</v>
      </c>
      <c r="AA30" s="38" t="s">
        <v>32</v>
      </c>
      <c r="AB30" s="37"/>
      <c r="AC30" s="38" t="s">
        <v>12</v>
      </c>
      <c r="AD30" s="38" t="s">
        <v>33</v>
      </c>
      <c r="AE30" s="38" t="s">
        <v>32</v>
      </c>
      <c r="AF30" s="38" t="s">
        <v>14</v>
      </c>
      <c r="AG30" s="370" t="s">
        <v>40</v>
      </c>
      <c r="AH30" s="360" t="s">
        <v>35</v>
      </c>
      <c r="AI30" s="38" t="s">
        <v>43</v>
      </c>
      <c r="AJ30" s="58" t="s">
        <v>41</v>
      </c>
      <c r="AK30" s="42"/>
      <c r="AL30" s="38" t="s">
        <v>32</v>
      </c>
      <c r="AM30" s="38" t="s">
        <v>81</v>
      </c>
      <c r="AN30" s="370" t="s">
        <v>29</v>
      </c>
      <c r="AO30" s="370" t="s">
        <v>30</v>
      </c>
      <c r="AP30" s="38" t="s">
        <v>14</v>
      </c>
      <c r="AQ30" s="38" t="s">
        <v>12</v>
      </c>
      <c r="AR30" s="370" t="s">
        <v>33</v>
      </c>
      <c r="AS30" s="38" t="s">
        <v>36</v>
      </c>
      <c r="AT30" s="358">
        <f t="shared" si="0"/>
        <v>6</v>
      </c>
      <c r="AU30" s="358">
        <f t="shared" si="1"/>
        <v>5</v>
      </c>
      <c r="AV30" s="358">
        <f t="shared" si="2"/>
        <v>5</v>
      </c>
      <c r="AW30" s="358">
        <f t="shared" si="3"/>
        <v>2</v>
      </c>
      <c r="AX30" s="358">
        <f t="shared" si="4"/>
        <v>2</v>
      </c>
      <c r="AY30" s="358">
        <f t="shared" si="5"/>
        <v>3</v>
      </c>
      <c r="AZ30" s="358">
        <f t="shared" si="6"/>
        <v>3</v>
      </c>
      <c r="BA30" s="358">
        <f t="shared" si="7"/>
        <v>3</v>
      </c>
      <c r="BB30" s="358">
        <f t="shared" si="8"/>
        <v>1</v>
      </c>
      <c r="BC30" s="358">
        <f t="shared" si="9"/>
        <v>1</v>
      </c>
      <c r="BD30" s="358">
        <f t="shared" si="10"/>
        <v>1</v>
      </c>
      <c r="BE30" s="358">
        <f t="shared" si="11"/>
        <v>1</v>
      </c>
      <c r="BF30" s="358">
        <f t="shared" si="12"/>
        <v>1</v>
      </c>
      <c r="BG30" s="358">
        <f t="shared" si="13"/>
        <v>1</v>
      </c>
      <c r="BH30" s="358">
        <f t="shared" si="14"/>
        <v>1</v>
      </c>
      <c r="BI30" s="358">
        <f t="shared" si="15"/>
        <v>0</v>
      </c>
    </row>
    <row r="31" s="8" customFormat="1" ht="98.1" customHeight="1" spans="1:61">
      <c r="A31" s="349"/>
      <c r="B31" s="350"/>
      <c r="C31" s="350"/>
      <c r="D31" s="350"/>
      <c r="E31" s="351" t="s">
        <v>83</v>
      </c>
      <c r="F31" s="351"/>
      <c r="G31" s="352"/>
      <c r="H31" s="352"/>
      <c r="I31" s="352"/>
      <c r="J31" s="352"/>
      <c r="K31" s="351" t="s">
        <v>84</v>
      </c>
      <c r="L31" s="351"/>
      <c r="M31" s="351"/>
      <c r="N31" s="351"/>
      <c r="O31" s="351"/>
      <c r="P31" s="352"/>
      <c r="Q31" s="352"/>
      <c r="R31" s="352"/>
      <c r="S31" s="352"/>
      <c r="T31" s="351" t="s">
        <v>85</v>
      </c>
      <c r="U31" s="351"/>
      <c r="V31" s="351"/>
      <c r="W31" s="351"/>
      <c r="X31" s="351"/>
      <c r="Y31" s="351" t="s">
        <v>86</v>
      </c>
      <c r="Z31" s="351"/>
      <c r="AA31" s="351"/>
      <c r="AB31" s="351"/>
      <c r="AC31" s="351" t="s">
        <v>87</v>
      </c>
      <c r="AD31" s="351"/>
      <c r="AE31" s="351"/>
      <c r="AF31" s="351"/>
      <c r="AG31" s="351"/>
      <c r="AH31" s="351"/>
      <c r="AI31" s="351"/>
      <c r="AJ31" s="351"/>
      <c r="AK31" s="351"/>
      <c r="AL31" s="351" t="s">
        <v>88</v>
      </c>
      <c r="AM31" s="351"/>
      <c r="AN31" s="351"/>
      <c r="AO31" s="351" t="s">
        <v>89</v>
      </c>
      <c r="AP31" s="351"/>
      <c r="AQ31" s="353"/>
      <c r="AR31" s="353"/>
      <c r="AS31" s="354"/>
      <c r="AT31" s="359"/>
      <c r="AU31" s="359"/>
      <c r="AV31" s="359"/>
      <c r="AW31" s="359"/>
      <c r="AX31" s="359"/>
      <c r="AY31" s="359"/>
      <c r="AZ31" s="359"/>
      <c r="BA31" s="359"/>
      <c r="BB31" s="359"/>
      <c r="BC31" s="359"/>
      <c r="BD31" s="359"/>
      <c r="BE31" s="359"/>
      <c r="BF31" s="359"/>
      <c r="BG31" s="359"/>
      <c r="BH31" s="359"/>
      <c r="BI31" s="359"/>
    </row>
  </sheetData>
  <mergeCells count="23">
    <mergeCell ref="A1:AS1"/>
    <mergeCell ref="B2:J2"/>
    <mergeCell ref="K2:S2"/>
    <mergeCell ref="T2:AB2"/>
    <mergeCell ref="AC2:AK2"/>
    <mergeCell ref="AL2:AS2"/>
    <mergeCell ref="B3:F3"/>
    <mergeCell ref="G3:J3"/>
    <mergeCell ref="K3:O3"/>
    <mergeCell ref="P3:S3"/>
    <mergeCell ref="T3:X3"/>
    <mergeCell ref="Y3:AB3"/>
    <mergeCell ref="AC3:AG3"/>
    <mergeCell ref="AH3:AK3"/>
    <mergeCell ref="AL3:AP3"/>
    <mergeCell ref="AQ3:AS3"/>
    <mergeCell ref="E31:F31"/>
    <mergeCell ref="K31:O31"/>
    <mergeCell ref="T31:X31"/>
    <mergeCell ref="Y31:AA31"/>
    <mergeCell ref="AC31:AG31"/>
    <mergeCell ref="AL31:AN31"/>
    <mergeCell ref="AO31:AP31"/>
  </mergeCells>
  <pageMargins left="0.75" right="0.75" top="1" bottom="1" header="0.5" footer="0.5"/>
  <pageSetup paperSize="9" scale="4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31"/>
  <sheetViews>
    <sheetView zoomScale="85" zoomScaleNormal="85" workbookViewId="0">
      <pane ySplit="4" topLeftCell="A12" activePane="bottomLeft" state="frozen"/>
      <selection/>
      <selection pane="bottomLeft" activeCell="BK19" sqref="BK19"/>
    </sheetView>
  </sheetViews>
  <sheetFormatPr defaultColWidth="9" defaultRowHeight="12"/>
  <cols>
    <col min="1" max="1" width="11.875" style="10" customWidth="1"/>
    <col min="2" max="45" width="5" style="10" customWidth="1"/>
    <col min="46" max="56" width="9" style="355" customWidth="1"/>
    <col min="57" max="61" width="9" style="355"/>
    <col min="62" max="16384" width="9" style="10"/>
  </cols>
  <sheetData>
    <row r="1" ht="38.1" customHeight="1" spans="1:61">
      <c r="A1" s="158" t="s">
        <v>90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322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356"/>
      <c r="AU1" s="356"/>
      <c r="AV1" s="356"/>
      <c r="AW1" s="356"/>
      <c r="AX1" s="356"/>
      <c r="AY1" s="356"/>
      <c r="AZ1" s="356"/>
      <c r="BA1" s="356"/>
      <c r="BB1" s="356"/>
      <c r="BC1" s="356"/>
      <c r="BD1" s="356"/>
      <c r="BE1" s="356"/>
      <c r="BF1" s="356"/>
      <c r="BG1" s="356"/>
      <c r="BH1" s="356"/>
      <c r="BI1" s="356"/>
    </row>
    <row r="2" s="2" customFormat="1" ht="21.95" customHeight="1" spans="1:61">
      <c r="A2" s="323" t="s">
        <v>1</v>
      </c>
      <c r="B2" s="160" t="s">
        <v>2</v>
      </c>
      <c r="C2" s="161"/>
      <c r="D2" s="161"/>
      <c r="E2" s="161"/>
      <c r="F2" s="161"/>
      <c r="G2" s="161"/>
      <c r="H2" s="161"/>
      <c r="I2" s="161"/>
      <c r="J2" s="163"/>
      <c r="K2" s="160" t="s">
        <v>3</v>
      </c>
      <c r="L2" s="161"/>
      <c r="M2" s="161"/>
      <c r="N2" s="161"/>
      <c r="O2" s="161"/>
      <c r="P2" s="161"/>
      <c r="Q2" s="161"/>
      <c r="R2" s="324"/>
      <c r="S2" s="163"/>
      <c r="T2" s="160" t="s">
        <v>4</v>
      </c>
      <c r="U2" s="161"/>
      <c r="V2" s="161"/>
      <c r="W2" s="161"/>
      <c r="X2" s="161"/>
      <c r="Y2" s="161"/>
      <c r="Z2" s="161"/>
      <c r="AA2" s="161"/>
      <c r="AB2" s="163"/>
      <c r="AC2" s="164" t="s">
        <v>5</v>
      </c>
      <c r="AD2" s="165"/>
      <c r="AE2" s="165"/>
      <c r="AF2" s="165"/>
      <c r="AG2" s="165"/>
      <c r="AH2" s="165"/>
      <c r="AI2" s="165"/>
      <c r="AJ2" s="165"/>
      <c r="AK2" s="166"/>
      <c r="AL2" s="325" t="s">
        <v>6</v>
      </c>
      <c r="AM2" s="165"/>
      <c r="AN2" s="165"/>
      <c r="AO2" s="165"/>
      <c r="AP2" s="165"/>
      <c r="AQ2" s="165"/>
      <c r="AR2" s="165"/>
      <c r="AS2" s="166"/>
      <c r="AT2" s="357"/>
      <c r="AU2" s="357"/>
      <c r="AV2" s="357"/>
      <c r="AW2" s="357"/>
      <c r="AX2" s="357"/>
      <c r="AY2" s="357"/>
      <c r="AZ2" s="357"/>
      <c r="BA2" s="357"/>
      <c r="BB2" s="357"/>
      <c r="BC2" s="357"/>
      <c r="BD2" s="357"/>
      <c r="BE2" s="357"/>
      <c r="BF2" s="357"/>
      <c r="BG2" s="357"/>
      <c r="BH2" s="357"/>
      <c r="BI2" s="357"/>
    </row>
    <row r="3" s="2" customFormat="1" ht="21.95" customHeight="1" spans="1:61">
      <c r="A3" s="326" t="s">
        <v>7</v>
      </c>
      <c r="B3" s="327" t="s">
        <v>8</v>
      </c>
      <c r="C3" s="328"/>
      <c r="D3" s="328"/>
      <c r="E3" s="328"/>
      <c r="F3" s="328"/>
      <c r="G3" s="328" t="s">
        <v>9</v>
      </c>
      <c r="H3" s="328"/>
      <c r="I3" s="328"/>
      <c r="J3" s="329"/>
      <c r="K3" s="327" t="s">
        <v>8</v>
      </c>
      <c r="L3" s="328"/>
      <c r="M3" s="328"/>
      <c r="N3" s="328"/>
      <c r="O3" s="328"/>
      <c r="P3" s="328" t="s">
        <v>9</v>
      </c>
      <c r="Q3" s="328"/>
      <c r="R3" s="330"/>
      <c r="S3" s="329"/>
      <c r="T3" s="327" t="s">
        <v>8</v>
      </c>
      <c r="U3" s="328"/>
      <c r="V3" s="328"/>
      <c r="W3" s="328"/>
      <c r="X3" s="328"/>
      <c r="Y3" s="328" t="s">
        <v>9</v>
      </c>
      <c r="Z3" s="328"/>
      <c r="AA3" s="328"/>
      <c r="AB3" s="329"/>
      <c r="AC3" s="327" t="s">
        <v>8</v>
      </c>
      <c r="AD3" s="328"/>
      <c r="AE3" s="328"/>
      <c r="AF3" s="328"/>
      <c r="AG3" s="328"/>
      <c r="AH3" s="328" t="s">
        <v>9</v>
      </c>
      <c r="AI3" s="328"/>
      <c r="AJ3" s="328"/>
      <c r="AK3" s="329"/>
      <c r="AL3" s="331" t="s">
        <v>8</v>
      </c>
      <c r="AM3" s="328"/>
      <c r="AN3" s="328"/>
      <c r="AO3" s="328"/>
      <c r="AP3" s="328"/>
      <c r="AQ3" s="328" t="s">
        <v>9</v>
      </c>
      <c r="AR3" s="328"/>
      <c r="AS3" s="329"/>
      <c r="AT3" s="100">
        <v>6</v>
      </c>
      <c r="AU3" s="100">
        <v>5</v>
      </c>
      <c r="AV3" s="100">
        <v>5</v>
      </c>
      <c r="AW3" s="100">
        <v>2</v>
      </c>
      <c r="AX3" s="100">
        <v>2</v>
      </c>
      <c r="AY3" s="100">
        <v>3</v>
      </c>
      <c r="AZ3" s="100">
        <v>3</v>
      </c>
      <c r="BA3" s="100">
        <v>3</v>
      </c>
      <c r="BB3" s="100">
        <v>1</v>
      </c>
      <c r="BC3" s="100">
        <v>1</v>
      </c>
      <c r="BD3" s="100">
        <v>1</v>
      </c>
      <c r="BE3" s="100">
        <v>0.5</v>
      </c>
      <c r="BF3" s="100">
        <v>1</v>
      </c>
      <c r="BG3" s="100">
        <v>1</v>
      </c>
      <c r="BH3" s="100">
        <v>1</v>
      </c>
      <c r="BI3" s="100">
        <v>2</v>
      </c>
    </row>
    <row r="4" s="26" customFormat="1" ht="47.1" customHeight="1" spans="1:61">
      <c r="A4" s="332" t="s">
        <v>10</v>
      </c>
      <c r="B4" s="333">
        <v>1</v>
      </c>
      <c r="C4" s="334">
        <v>2</v>
      </c>
      <c r="D4" s="334">
        <v>3</v>
      </c>
      <c r="E4" s="334">
        <v>4</v>
      </c>
      <c r="F4" s="334">
        <v>5</v>
      </c>
      <c r="G4" s="334">
        <v>6</v>
      </c>
      <c r="H4" s="334">
        <v>7</v>
      </c>
      <c r="I4" s="334">
        <v>8</v>
      </c>
      <c r="J4" s="335" t="s">
        <v>11</v>
      </c>
      <c r="K4" s="333">
        <v>1</v>
      </c>
      <c r="L4" s="334">
        <v>2</v>
      </c>
      <c r="M4" s="334">
        <v>3</v>
      </c>
      <c r="N4" s="334">
        <v>4</v>
      </c>
      <c r="O4" s="334">
        <v>5</v>
      </c>
      <c r="P4" s="334">
        <v>6</v>
      </c>
      <c r="Q4" s="334">
        <v>7</v>
      </c>
      <c r="R4" s="336">
        <v>8</v>
      </c>
      <c r="S4" s="335" t="s">
        <v>11</v>
      </c>
      <c r="T4" s="333">
        <v>1</v>
      </c>
      <c r="U4" s="334">
        <v>2</v>
      </c>
      <c r="V4" s="334">
        <v>3</v>
      </c>
      <c r="W4" s="334">
        <v>4</v>
      </c>
      <c r="X4" s="334">
        <v>5</v>
      </c>
      <c r="Y4" s="334">
        <v>6</v>
      </c>
      <c r="Z4" s="334">
        <v>7</v>
      </c>
      <c r="AA4" s="334">
        <v>8</v>
      </c>
      <c r="AB4" s="335" t="s">
        <v>11</v>
      </c>
      <c r="AC4" s="333">
        <v>1</v>
      </c>
      <c r="AD4" s="334">
        <v>2</v>
      </c>
      <c r="AE4" s="334">
        <v>3</v>
      </c>
      <c r="AF4" s="334">
        <v>4</v>
      </c>
      <c r="AG4" s="334">
        <v>5</v>
      </c>
      <c r="AH4" s="334">
        <v>6</v>
      </c>
      <c r="AI4" s="334">
        <v>7</v>
      </c>
      <c r="AJ4" s="334">
        <v>8</v>
      </c>
      <c r="AK4" s="335" t="s">
        <v>11</v>
      </c>
      <c r="AL4" s="337">
        <v>1</v>
      </c>
      <c r="AM4" s="334">
        <v>2</v>
      </c>
      <c r="AN4" s="334">
        <v>3</v>
      </c>
      <c r="AO4" s="334">
        <v>4</v>
      </c>
      <c r="AP4" s="334">
        <v>5</v>
      </c>
      <c r="AQ4" s="334">
        <v>6</v>
      </c>
      <c r="AR4" s="334">
        <v>7</v>
      </c>
      <c r="AS4" s="338">
        <v>8</v>
      </c>
      <c r="AT4" s="122" t="s">
        <v>12</v>
      </c>
      <c r="AU4" s="122" t="s">
        <v>13</v>
      </c>
      <c r="AV4" s="122" t="s">
        <v>14</v>
      </c>
      <c r="AW4" s="122" t="s">
        <v>15</v>
      </c>
      <c r="AX4" s="122" t="s">
        <v>16</v>
      </c>
      <c r="AY4" s="122" t="s">
        <v>17</v>
      </c>
      <c r="AZ4" s="122" t="s">
        <v>18</v>
      </c>
      <c r="BA4" s="122" t="s">
        <v>19</v>
      </c>
      <c r="BB4" s="122" t="s">
        <v>20</v>
      </c>
      <c r="BC4" s="122" t="s">
        <v>21</v>
      </c>
      <c r="BD4" s="122" t="s">
        <v>22</v>
      </c>
      <c r="BE4" s="122" t="s">
        <v>23</v>
      </c>
      <c r="BF4" s="122" t="s">
        <v>24</v>
      </c>
      <c r="BG4" s="122" t="s">
        <v>25</v>
      </c>
      <c r="BH4" s="122" t="s">
        <v>26</v>
      </c>
      <c r="BI4" s="122" t="s">
        <v>27</v>
      </c>
    </row>
    <row r="5" s="26" customFormat="1" ht="47.1" customHeight="1" spans="1:61">
      <c r="A5" s="339" t="s">
        <v>28</v>
      </c>
      <c r="B5" s="361" t="s">
        <v>29</v>
      </c>
      <c r="C5" s="24" t="s">
        <v>30</v>
      </c>
      <c r="D5" s="361" t="s">
        <v>12</v>
      </c>
      <c r="E5" s="24" t="s">
        <v>14</v>
      </c>
      <c r="F5" s="24" t="s">
        <v>31</v>
      </c>
      <c r="G5" s="24" t="s">
        <v>32</v>
      </c>
      <c r="H5" s="24" t="s">
        <v>33</v>
      </c>
      <c r="I5" s="340" t="s">
        <v>34</v>
      </c>
      <c r="J5" s="341"/>
      <c r="K5" s="361" t="s">
        <v>35</v>
      </c>
      <c r="L5" s="24" t="s">
        <v>14</v>
      </c>
      <c r="M5" s="24" t="s">
        <v>12</v>
      </c>
      <c r="N5" s="24" t="s">
        <v>12</v>
      </c>
      <c r="O5" s="340" t="s">
        <v>36</v>
      </c>
      <c r="P5" s="24" t="s">
        <v>32</v>
      </c>
      <c r="Q5" s="24" t="s">
        <v>32</v>
      </c>
      <c r="R5" s="340" t="s">
        <v>37</v>
      </c>
      <c r="S5" s="37"/>
      <c r="T5" s="361" t="s">
        <v>33</v>
      </c>
      <c r="U5" s="361" t="s">
        <v>29</v>
      </c>
      <c r="V5" s="24" t="s">
        <v>12</v>
      </c>
      <c r="W5" s="24" t="s">
        <v>14</v>
      </c>
      <c r="X5" s="24" t="s">
        <v>26</v>
      </c>
      <c r="Y5" s="24" t="s">
        <v>32</v>
      </c>
      <c r="Z5" s="361" t="s">
        <v>30</v>
      </c>
      <c r="AA5" s="361" t="s">
        <v>38</v>
      </c>
      <c r="AB5" s="37"/>
      <c r="AC5" s="24" t="s">
        <v>35</v>
      </c>
      <c r="AD5" s="360" t="s">
        <v>14</v>
      </c>
      <c r="AE5" s="361" t="s">
        <v>39</v>
      </c>
      <c r="AF5" s="24" t="s">
        <v>12</v>
      </c>
      <c r="AG5" s="24" t="s">
        <v>40</v>
      </c>
      <c r="AH5" s="24" t="s">
        <v>36</v>
      </c>
      <c r="AI5" s="24" t="s">
        <v>32</v>
      </c>
      <c r="AJ5" s="340" t="s">
        <v>41</v>
      </c>
      <c r="AK5" s="37"/>
      <c r="AL5" s="24" t="s">
        <v>42</v>
      </c>
      <c r="AM5" s="24" t="s">
        <v>32</v>
      </c>
      <c r="AN5" s="361" t="s">
        <v>14</v>
      </c>
      <c r="AO5" s="360" t="s">
        <v>43</v>
      </c>
      <c r="AP5" s="24" t="s">
        <v>29</v>
      </c>
      <c r="AQ5" s="24" t="s">
        <v>12</v>
      </c>
      <c r="AR5" s="24" t="s">
        <v>30</v>
      </c>
      <c r="AS5" s="24" t="s">
        <v>33</v>
      </c>
      <c r="AT5" s="358">
        <f t="shared" ref="AT5:AT30" si="0">COUNTIF(B5:AS5,"语")</f>
        <v>6</v>
      </c>
      <c r="AU5" s="358">
        <f t="shared" ref="AU5:AU30" si="1">COUNTIF(B5:AS5,"数")</f>
        <v>6</v>
      </c>
      <c r="AV5" s="358">
        <f t="shared" ref="AV5:AV30" si="2">COUNTIF(B5:AS5,"英")</f>
        <v>5</v>
      </c>
      <c r="AW5" s="358">
        <f t="shared" ref="AW5:AW30" si="3">COUNTIF(B5:AS5,"政")</f>
        <v>2</v>
      </c>
      <c r="AX5" s="358">
        <f t="shared" ref="AX5:AX30" si="4">COUNTIF(B5:AS5,"历")</f>
        <v>2</v>
      </c>
      <c r="AY5" s="358">
        <f t="shared" ref="AY5:AY30" si="5">COUNTIF(B5:AS5,"地")</f>
        <v>3</v>
      </c>
      <c r="AZ5" s="358">
        <f t="shared" ref="AZ5:AZ30" si="6">COUNTIF(B5:AS5,"生")</f>
        <v>3</v>
      </c>
      <c r="BA5" s="358">
        <f t="shared" ref="BA5:BA30" si="7">COUNTIF(B5:AS5,"体")</f>
        <v>3</v>
      </c>
      <c r="BB5" s="358">
        <f t="shared" ref="BB5:BB30" si="8">COUNTIF(B5:AS5,"音")</f>
        <v>1</v>
      </c>
      <c r="BC5" s="358">
        <f t="shared" ref="BC5:BC30" si="9">COUNTIF(B5:AS5,"美")</f>
        <v>1</v>
      </c>
      <c r="BD5" s="358">
        <f t="shared" ref="BD5:BD30" si="10">COUNTIF(B5:AS5,"信")</f>
        <v>1</v>
      </c>
      <c r="BE5" s="358">
        <f t="shared" ref="BE5:BE30" si="11">COUNTIF(B5:AS5,"心综")</f>
        <v>1</v>
      </c>
      <c r="BF5" s="358">
        <f t="shared" ref="BF5:BF30" si="12">COUNTIF(B5:AS5,"班")</f>
        <v>1</v>
      </c>
      <c r="BG5" s="358">
        <f t="shared" ref="BG5:BG30" si="13">COUNTIF(B5:AS5,"劳")</f>
        <v>1</v>
      </c>
      <c r="BH5" s="358">
        <f t="shared" ref="BH5:BH30" si="14">COUNTIF(B5:AS5,"听说")</f>
        <v>1</v>
      </c>
      <c r="BI5" s="358">
        <f t="shared" ref="BI5:BI30" si="15">COUNTIF(B5:AS5,"综实")</f>
        <v>0</v>
      </c>
    </row>
    <row r="6" s="26" customFormat="1" ht="47.1" customHeight="1" spans="1:61">
      <c r="A6" s="343" t="s">
        <v>44</v>
      </c>
      <c r="B6" s="25" t="s">
        <v>14</v>
      </c>
      <c r="C6" s="25" t="s">
        <v>12</v>
      </c>
      <c r="D6" s="360" t="s">
        <v>40</v>
      </c>
      <c r="E6" s="25" t="s">
        <v>32</v>
      </c>
      <c r="F6" s="25" t="s">
        <v>45</v>
      </c>
      <c r="G6" s="25" t="s">
        <v>33</v>
      </c>
      <c r="H6" s="12" t="s">
        <v>43</v>
      </c>
      <c r="I6" s="344" t="s">
        <v>34</v>
      </c>
      <c r="J6" s="37"/>
      <c r="K6" s="25" t="s">
        <v>32</v>
      </c>
      <c r="L6" s="360" t="s">
        <v>29</v>
      </c>
      <c r="M6" s="361" t="s">
        <v>35</v>
      </c>
      <c r="N6" s="25" t="s">
        <v>14</v>
      </c>
      <c r="O6" s="25" t="s">
        <v>26</v>
      </c>
      <c r="P6" s="25" t="s">
        <v>12</v>
      </c>
      <c r="Q6" s="25" t="s">
        <v>12</v>
      </c>
      <c r="R6" s="344" t="s">
        <v>37</v>
      </c>
      <c r="S6" s="37"/>
      <c r="T6" s="25" t="s">
        <v>14</v>
      </c>
      <c r="U6" s="360" t="s">
        <v>39</v>
      </c>
      <c r="V6" s="25" t="s">
        <v>33</v>
      </c>
      <c r="W6" s="360" t="s">
        <v>36</v>
      </c>
      <c r="X6" s="25" t="s">
        <v>12</v>
      </c>
      <c r="Y6" s="360" t="s">
        <v>31</v>
      </c>
      <c r="Z6" s="360" t="s">
        <v>32</v>
      </c>
      <c r="AA6" s="361" t="s">
        <v>30</v>
      </c>
      <c r="AB6" s="37"/>
      <c r="AC6" s="25" t="s">
        <v>12</v>
      </c>
      <c r="AD6" s="25" t="s">
        <v>32</v>
      </c>
      <c r="AE6" s="25" t="s">
        <v>45</v>
      </c>
      <c r="AF6" s="25" t="s">
        <v>14</v>
      </c>
      <c r="AG6" s="25" t="s">
        <v>30</v>
      </c>
      <c r="AH6" s="25" t="s">
        <v>29</v>
      </c>
      <c r="AI6" s="360" t="s">
        <v>35</v>
      </c>
      <c r="AJ6" s="344" t="s">
        <v>41</v>
      </c>
      <c r="AK6" s="37"/>
      <c r="AL6" s="25" t="s">
        <v>29</v>
      </c>
      <c r="AM6" s="25" t="s">
        <v>38</v>
      </c>
      <c r="AN6" s="24" t="s">
        <v>32</v>
      </c>
      <c r="AO6" s="360" t="s">
        <v>30</v>
      </c>
      <c r="AP6" s="25" t="s">
        <v>14</v>
      </c>
      <c r="AQ6" s="25" t="s">
        <v>36</v>
      </c>
      <c r="AR6" s="25" t="s">
        <v>33</v>
      </c>
      <c r="AS6" s="25" t="s">
        <v>12</v>
      </c>
      <c r="AT6" s="358">
        <f t="shared" si="0"/>
        <v>6</v>
      </c>
      <c r="AU6" s="358">
        <f t="shared" si="1"/>
        <v>5</v>
      </c>
      <c r="AV6" s="358">
        <f t="shared" si="2"/>
        <v>5</v>
      </c>
      <c r="AW6" s="358">
        <f t="shared" si="3"/>
        <v>2</v>
      </c>
      <c r="AX6" s="358">
        <f t="shared" si="4"/>
        <v>2</v>
      </c>
      <c r="AY6" s="358">
        <f t="shared" si="5"/>
        <v>3</v>
      </c>
      <c r="AZ6" s="358">
        <f t="shared" si="6"/>
        <v>3</v>
      </c>
      <c r="BA6" s="358">
        <f t="shared" si="7"/>
        <v>3</v>
      </c>
      <c r="BB6" s="358">
        <f t="shared" si="8"/>
        <v>1</v>
      </c>
      <c r="BC6" s="358">
        <f t="shared" si="9"/>
        <v>1</v>
      </c>
      <c r="BD6" s="358">
        <f t="shared" si="10"/>
        <v>1</v>
      </c>
      <c r="BE6" s="358">
        <f t="shared" si="11"/>
        <v>1</v>
      </c>
      <c r="BF6" s="358">
        <f t="shared" si="12"/>
        <v>1</v>
      </c>
      <c r="BG6" s="358">
        <f t="shared" si="13"/>
        <v>1</v>
      </c>
      <c r="BH6" s="358">
        <f t="shared" si="14"/>
        <v>1</v>
      </c>
      <c r="BI6" s="358">
        <f t="shared" si="15"/>
        <v>0</v>
      </c>
    </row>
    <row r="7" s="26" customFormat="1" ht="47.1" customHeight="1" spans="1:61">
      <c r="A7" s="343" t="s">
        <v>46</v>
      </c>
      <c r="B7" s="25" t="s">
        <v>33</v>
      </c>
      <c r="C7" s="25" t="s">
        <v>36</v>
      </c>
      <c r="D7" s="25" t="s">
        <v>35</v>
      </c>
      <c r="E7" s="25" t="s">
        <v>32</v>
      </c>
      <c r="F7" s="25" t="s">
        <v>38</v>
      </c>
      <c r="G7" s="25" t="s">
        <v>14</v>
      </c>
      <c r="H7" s="25" t="s">
        <v>12</v>
      </c>
      <c r="I7" s="344" t="s">
        <v>34</v>
      </c>
      <c r="J7" s="12"/>
      <c r="K7" s="25" t="s">
        <v>29</v>
      </c>
      <c r="L7" s="25" t="s">
        <v>14</v>
      </c>
      <c r="M7" s="360" t="s">
        <v>47</v>
      </c>
      <c r="N7" s="362" t="s">
        <v>32</v>
      </c>
      <c r="O7" s="362" t="s">
        <v>33</v>
      </c>
      <c r="P7" s="25" t="s">
        <v>12</v>
      </c>
      <c r="Q7" s="25" t="s">
        <v>12</v>
      </c>
      <c r="R7" s="344" t="s">
        <v>37</v>
      </c>
      <c r="S7" s="12"/>
      <c r="T7" s="12" t="s">
        <v>39</v>
      </c>
      <c r="U7" s="360" t="s">
        <v>14</v>
      </c>
      <c r="V7" s="361" t="s">
        <v>29</v>
      </c>
      <c r="W7" s="25" t="s">
        <v>30</v>
      </c>
      <c r="X7" s="25" t="s">
        <v>12</v>
      </c>
      <c r="Y7" s="25" t="s">
        <v>36</v>
      </c>
      <c r="Z7" s="25" t="s">
        <v>32</v>
      </c>
      <c r="AA7" s="25" t="s">
        <v>35</v>
      </c>
      <c r="AB7" s="37"/>
      <c r="AC7" s="25" t="s">
        <v>33</v>
      </c>
      <c r="AD7" s="25" t="s">
        <v>12</v>
      </c>
      <c r="AE7" s="25" t="s">
        <v>30</v>
      </c>
      <c r="AF7" s="25" t="s">
        <v>32</v>
      </c>
      <c r="AG7" s="25" t="s">
        <v>47</v>
      </c>
      <c r="AH7" s="25" t="s">
        <v>14</v>
      </c>
      <c r="AI7" s="25" t="s">
        <v>26</v>
      </c>
      <c r="AJ7" s="344" t="s">
        <v>41</v>
      </c>
      <c r="AK7" s="12"/>
      <c r="AL7" s="25" t="s">
        <v>43</v>
      </c>
      <c r="AM7" s="25" t="s">
        <v>31</v>
      </c>
      <c r="AN7" s="25" t="s">
        <v>32</v>
      </c>
      <c r="AO7" s="25" t="s">
        <v>14</v>
      </c>
      <c r="AP7" s="25" t="s">
        <v>30</v>
      </c>
      <c r="AQ7" s="25" t="s">
        <v>40</v>
      </c>
      <c r="AR7" s="25" t="s">
        <v>29</v>
      </c>
      <c r="AS7" s="25" t="s">
        <v>12</v>
      </c>
      <c r="AT7" s="358">
        <f t="shared" si="0"/>
        <v>6</v>
      </c>
      <c r="AU7" s="358">
        <f t="shared" si="1"/>
        <v>5</v>
      </c>
      <c r="AV7" s="358">
        <f t="shared" si="2"/>
        <v>5</v>
      </c>
      <c r="AW7" s="358">
        <f t="shared" si="3"/>
        <v>2</v>
      </c>
      <c r="AX7" s="358">
        <f t="shared" si="4"/>
        <v>2</v>
      </c>
      <c r="AY7" s="358">
        <f t="shared" si="5"/>
        <v>3</v>
      </c>
      <c r="AZ7" s="358">
        <f t="shared" si="6"/>
        <v>3</v>
      </c>
      <c r="BA7" s="358">
        <f t="shared" si="7"/>
        <v>3</v>
      </c>
      <c r="BB7" s="358">
        <f t="shared" si="8"/>
        <v>1</v>
      </c>
      <c r="BC7" s="358">
        <f t="shared" si="9"/>
        <v>1</v>
      </c>
      <c r="BD7" s="358">
        <f t="shared" si="10"/>
        <v>1</v>
      </c>
      <c r="BE7" s="358">
        <f t="shared" si="11"/>
        <v>1</v>
      </c>
      <c r="BF7" s="358">
        <f t="shared" si="12"/>
        <v>1</v>
      </c>
      <c r="BG7" s="358">
        <f t="shared" si="13"/>
        <v>1</v>
      </c>
      <c r="BH7" s="358">
        <f t="shared" si="14"/>
        <v>1</v>
      </c>
      <c r="BI7" s="358">
        <f t="shared" si="15"/>
        <v>0</v>
      </c>
    </row>
    <row r="8" s="26" customFormat="1" ht="47.1" customHeight="1" spans="1:61">
      <c r="A8" s="343" t="s">
        <v>48</v>
      </c>
      <c r="B8" s="25" t="s">
        <v>32</v>
      </c>
      <c r="C8" s="25" t="s">
        <v>31</v>
      </c>
      <c r="D8" s="25" t="s">
        <v>12</v>
      </c>
      <c r="E8" s="25" t="s">
        <v>29</v>
      </c>
      <c r="F8" s="25" t="s">
        <v>33</v>
      </c>
      <c r="G8" s="25" t="s">
        <v>30</v>
      </c>
      <c r="H8" s="25" t="s">
        <v>14</v>
      </c>
      <c r="I8" s="344" t="s">
        <v>34</v>
      </c>
      <c r="J8" s="12"/>
      <c r="K8" s="25" t="s">
        <v>12</v>
      </c>
      <c r="L8" s="25" t="s">
        <v>12</v>
      </c>
      <c r="M8" s="25" t="s">
        <v>29</v>
      </c>
      <c r="N8" s="25" t="s">
        <v>14</v>
      </c>
      <c r="O8" s="362" t="s">
        <v>35</v>
      </c>
      <c r="P8" s="25" t="s">
        <v>32</v>
      </c>
      <c r="Q8" s="25" t="s">
        <v>47</v>
      </c>
      <c r="R8" s="344" t="s">
        <v>37</v>
      </c>
      <c r="S8" s="12"/>
      <c r="T8" s="25" t="s">
        <v>14</v>
      </c>
      <c r="U8" s="25" t="s">
        <v>30</v>
      </c>
      <c r="V8" s="25" t="s">
        <v>12</v>
      </c>
      <c r="W8" s="360" t="s">
        <v>43</v>
      </c>
      <c r="X8" s="25" t="s">
        <v>40</v>
      </c>
      <c r="Y8" s="25" t="s">
        <v>33</v>
      </c>
      <c r="Z8" s="12" t="s">
        <v>36</v>
      </c>
      <c r="AA8" s="25" t="s">
        <v>32</v>
      </c>
      <c r="AB8" s="37"/>
      <c r="AC8" s="25" t="s">
        <v>32</v>
      </c>
      <c r="AD8" s="25" t="s">
        <v>47</v>
      </c>
      <c r="AE8" s="25" t="s">
        <v>14</v>
      </c>
      <c r="AF8" s="25" t="s">
        <v>26</v>
      </c>
      <c r="AG8" s="25" t="s">
        <v>39</v>
      </c>
      <c r="AH8" s="25" t="s">
        <v>12</v>
      </c>
      <c r="AI8" s="25" t="s">
        <v>30</v>
      </c>
      <c r="AJ8" s="344" t="s">
        <v>41</v>
      </c>
      <c r="AK8" s="37"/>
      <c r="AL8" s="25" t="s">
        <v>32</v>
      </c>
      <c r="AM8" s="25" t="s">
        <v>35</v>
      </c>
      <c r="AN8" s="25" t="s">
        <v>14</v>
      </c>
      <c r="AO8" s="25" t="s">
        <v>33</v>
      </c>
      <c r="AP8" s="25" t="s">
        <v>38</v>
      </c>
      <c r="AQ8" s="25" t="s">
        <v>12</v>
      </c>
      <c r="AR8" s="25" t="s">
        <v>36</v>
      </c>
      <c r="AS8" s="25" t="s">
        <v>29</v>
      </c>
      <c r="AT8" s="358">
        <f t="shared" si="0"/>
        <v>6</v>
      </c>
      <c r="AU8" s="358">
        <f t="shared" si="1"/>
        <v>5</v>
      </c>
      <c r="AV8" s="358">
        <f t="shared" si="2"/>
        <v>5</v>
      </c>
      <c r="AW8" s="358">
        <f t="shared" si="3"/>
        <v>2</v>
      </c>
      <c r="AX8" s="358">
        <f t="shared" si="4"/>
        <v>2</v>
      </c>
      <c r="AY8" s="358">
        <f t="shared" si="5"/>
        <v>3</v>
      </c>
      <c r="AZ8" s="358">
        <f t="shared" si="6"/>
        <v>3</v>
      </c>
      <c r="BA8" s="358">
        <f t="shared" si="7"/>
        <v>3</v>
      </c>
      <c r="BB8" s="358">
        <f t="shared" si="8"/>
        <v>1</v>
      </c>
      <c r="BC8" s="358">
        <f t="shared" si="9"/>
        <v>1</v>
      </c>
      <c r="BD8" s="358">
        <f t="shared" si="10"/>
        <v>1</v>
      </c>
      <c r="BE8" s="358">
        <f t="shared" si="11"/>
        <v>1</v>
      </c>
      <c r="BF8" s="358">
        <f t="shared" si="12"/>
        <v>1</v>
      </c>
      <c r="BG8" s="358">
        <f t="shared" si="13"/>
        <v>1</v>
      </c>
      <c r="BH8" s="358">
        <f t="shared" si="14"/>
        <v>1</v>
      </c>
      <c r="BI8" s="358">
        <f t="shared" si="15"/>
        <v>0</v>
      </c>
    </row>
    <row r="9" s="26" customFormat="1" ht="47.1" customHeight="1" spans="1:61">
      <c r="A9" s="343" t="s">
        <v>49</v>
      </c>
      <c r="B9" s="25" t="s">
        <v>35</v>
      </c>
      <c r="C9" s="25" t="s">
        <v>12</v>
      </c>
      <c r="D9" s="25" t="s">
        <v>14</v>
      </c>
      <c r="E9" s="25" t="s">
        <v>33</v>
      </c>
      <c r="F9" s="25" t="s">
        <v>29</v>
      </c>
      <c r="G9" s="25" t="s">
        <v>32</v>
      </c>
      <c r="H9" s="25" t="s">
        <v>30</v>
      </c>
      <c r="I9" s="344" t="s">
        <v>34</v>
      </c>
      <c r="J9" s="12"/>
      <c r="K9" s="25" t="s">
        <v>29</v>
      </c>
      <c r="L9" s="25" t="s">
        <v>12</v>
      </c>
      <c r="M9" s="25" t="s">
        <v>32</v>
      </c>
      <c r="N9" s="25" t="s">
        <v>50</v>
      </c>
      <c r="O9" s="344" t="s">
        <v>39</v>
      </c>
      <c r="P9" s="25" t="s">
        <v>14</v>
      </c>
      <c r="Q9" s="25" t="s">
        <v>26</v>
      </c>
      <c r="R9" s="344" t="s">
        <v>37</v>
      </c>
      <c r="S9" s="12"/>
      <c r="T9" s="25" t="s">
        <v>36</v>
      </c>
      <c r="U9" s="25" t="s">
        <v>14</v>
      </c>
      <c r="V9" s="25" t="s">
        <v>38</v>
      </c>
      <c r="W9" s="25" t="s">
        <v>12</v>
      </c>
      <c r="X9" s="25" t="s">
        <v>12</v>
      </c>
      <c r="Y9" s="25" t="s">
        <v>35</v>
      </c>
      <c r="Z9" s="360" t="s">
        <v>32</v>
      </c>
      <c r="AA9" s="25" t="s">
        <v>30</v>
      </c>
      <c r="AB9" s="12"/>
      <c r="AC9" s="25" t="s">
        <v>43</v>
      </c>
      <c r="AD9" s="12" t="s">
        <v>30</v>
      </c>
      <c r="AE9" s="25" t="s">
        <v>12</v>
      </c>
      <c r="AF9" s="25" t="s">
        <v>14</v>
      </c>
      <c r="AG9" s="25" t="s">
        <v>33</v>
      </c>
      <c r="AH9" s="25" t="s">
        <v>32</v>
      </c>
      <c r="AI9" s="25" t="s">
        <v>40</v>
      </c>
      <c r="AJ9" s="344" t="s">
        <v>41</v>
      </c>
      <c r="AK9" s="37"/>
      <c r="AL9" s="25" t="s">
        <v>32</v>
      </c>
      <c r="AM9" s="25" t="s">
        <v>50</v>
      </c>
      <c r="AN9" s="25" t="s">
        <v>31</v>
      </c>
      <c r="AO9" s="25" t="s">
        <v>14</v>
      </c>
      <c r="AP9" s="25" t="s">
        <v>29</v>
      </c>
      <c r="AQ9" s="25" t="s">
        <v>33</v>
      </c>
      <c r="AR9" s="25" t="s">
        <v>12</v>
      </c>
      <c r="AS9" s="25" t="s">
        <v>36</v>
      </c>
      <c r="AT9" s="358">
        <f t="shared" si="0"/>
        <v>6</v>
      </c>
      <c r="AU9" s="358">
        <f t="shared" si="1"/>
        <v>5</v>
      </c>
      <c r="AV9" s="358">
        <f t="shared" si="2"/>
        <v>5</v>
      </c>
      <c r="AW9" s="358">
        <f t="shared" si="3"/>
        <v>2</v>
      </c>
      <c r="AX9" s="358">
        <f t="shared" si="4"/>
        <v>2</v>
      </c>
      <c r="AY9" s="358">
        <f t="shared" si="5"/>
        <v>3</v>
      </c>
      <c r="AZ9" s="358">
        <f t="shared" si="6"/>
        <v>3</v>
      </c>
      <c r="BA9" s="358">
        <f t="shared" si="7"/>
        <v>3</v>
      </c>
      <c r="BB9" s="358">
        <f t="shared" si="8"/>
        <v>1</v>
      </c>
      <c r="BC9" s="358">
        <f t="shared" si="9"/>
        <v>1</v>
      </c>
      <c r="BD9" s="358">
        <f t="shared" si="10"/>
        <v>1</v>
      </c>
      <c r="BE9" s="358">
        <f t="shared" si="11"/>
        <v>1</v>
      </c>
      <c r="BF9" s="358">
        <f t="shared" si="12"/>
        <v>1</v>
      </c>
      <c r="BG9" s="358">
        <f t="shared" si="13"/>
        <v>1</v>
      </c>
      <c r="BH9" s="358">
        <f t="shared" si="14"/>
        <v>1</v>
      </c>
      <c r="BI9" s="358">
        <f t="shared" si="15"/>
        <v>0</v>
      </c>
    </row>
    <row r="10" s="26" customFormat="1" ht="47.1" customHeight="1" spans="1:61">
      <c r="A10" s="343" t="s">
        <v>51</v>
      </c>
      <c r="B10" s="367" t="s">
        <v>40</v>
      </c>
      <c r="C10" s="25" t="s">
        <v>29</v>
      </c>
      <c r="D10" s="25" t="s">
        <v>12</v>
      </c>
      <c r="E10" s="25" t="s">
        <v>32</v>
      </c>
      <c r="F10" s="25" t="s">
        <v>35</v>
      </c>
      <c r="G10" s="25" t="s">
        <v>14</v>
      </c>
      <c r="H10" s="25" t="s">
        <v>36</v>
      </c>
      <c r="I10" s="344" t="s">
        <v>34</v>
      </c>
      <c r="J10" s="12"/>
      <c r="K10" s="25" t="s">
        <v>14</v>
      </c>
      <c r="L10" s="25" t="s">
        <v>26</v>
      </c>
      <c r="M10" s="360" t="s">
        <v>33</v>
      </c>
      <c r="N10" s="25" t="s">
        <v>12</v>
      </c>
      <c r="O10" s="360" t="s">
        <v>29</v>
      </c>
      <c r="P10" s="25" t="s">
        <v>32</v>
      </c>
      <c r="Q10" s="25" t="s">
        <v>50</v>
      </c>
      <c r="R10" s="344" t="s">
        <v>37</v>
      </c>
      <c r="S10" s="12"/>
      <c r="T10" s="25" t="s">
        <v>12</v>
      </c>
      <c r="U10" s="25" t="s">
        <v>12</v>
      </c>
      <c r="V10" s="25" t="s">
        <v>14</v>
      </c>
      <c r="W10" s="25" t="s">
        <v>30</v>
      </c>
      <c r="X10" s="25" t="s">
        <v>36</v>
      </c>
      <c r="Y10" s="360" t="s">
        <v>32</v>
      </c>
      <c r="Z10" s="360" t="s">
        <v>31</v>
      </c>
      <c r="AA10" s="360" t="s">
        <v>35</v>
      </c>
      <c r="AB10" s="12"/>
      <c r="AC10" s="25" t="s">
        <v>32</v>
      </c>
      <c r="AD10" s="25" t="s">
        <v>12</v>
      </c>
      <c r="AE10" s="25" t="s">
        <v>30</v>
      </c>
      <c r="AF10" s="25" t="s">
        <v>33</v>
      </c>
      <c r="AG10" s="360" t="s">
        <v>14</v>
      </c>
      <c r="AH10" s="25" t="s">
        <v>29</v>
      </c>
      <c r="AI10" s="25" t="s">
        <v>39</v>
      </c>
      <c r="AJ10" s="344" t="s">
        <v>41</v>
      </c>
      <c r="AK10" s="12"/>
      <c r="AL10" s="25" t="s">
        <v>33</v>
      </c>
      <c r="AM10" s="25" t="s">
        <v>30</v>
      </c>
      <c r="AN10" s="25" t="s">
        <v>38</v>
      </c>
      <c r="AO10" s="25" t="s">
        <v>32</v>
      </c>
      <c r="AP10" s="25" t="s">
        <v>50</v>
      </c>
      <c r="AQ10" s="25" t="s">
        <v>43</v>
      </c>
      <c r="AR10" s="25" t="s">
        <v>14</v>
      </c>
      <c r="AS10" s="25" t="s">
        <v>12</v>
      </c>
      <c r="AT10" s="358">
        <f t="shared" si="0"/>
        <v>6</v>
      </c>
      <c r="AU10" s="358">
        <f t="shared" si="1"/>
        <v>5</v>
      </c>
      <c r="AV10" s="358">
        <f t="shared" si="2"/>
        <v>5</v>
      </c>
      <c r="AW10" s="358">
        <f t="shared" si="3"/>
        <v>2</v>
      </c>
      <c r="AX10" s="358">
        <f t="shared" si="4"/>
        <v>2</v>
      </c>
      <c r="AY10" s="358">
        <f t="shared" si="5"/>
        <v>3</v>
      </c>
      <c r="AZ10" s="358">
        <f t="shared" si="6"/>
        <v>3</v>
      </c>
      <c r="BA10" s="358">
        <f t="shared" si="7"/>
        <v>3</v>
      </c>
      <c r="BB10" s="358">
        <f t="shared" si="8"/>
        <v>1</v>
      </c>
      <c r="BC10" s="358">
        <f t="shared" si="9"/>
        <v>1</v>
      </c>
      <c r="BD10" s="358">
        <f t="shared" si="10"/>
        <v>1</v>
      </c>
      <c r="BE10" s="358">
        <f t="shared" si="11"/>
        <v>1</v>
      </c>
      <c r="BF10" s="358">
        <f t="shared" si="12"/>
        <v>1</v>
      </c>
      <c r="BG10" s="358">
        <f t="shared" si="13"/>
        <v>1</v>
      </c>
      <c r="BH10" s="358">
        <f t="shared" si="14"/>
        <v>1</v>
      </c>
      <c r="BI10" s="358">
        <f t="shared" si="15"/>
        <v>0</v>
      </c>
    </row>
    <row r="11" s="26" customFormat="1" ht="47.1" customHeight="1" spans="1:61">
      <c r="A11" s="343" t="s">
        <v>52</v>
      </c>
      <c r="B11" s="25" t="s">
        <v>29</v>
      </c>
      <c r="C11" s="25" t="s">
        <v>36</v>
      </c>
      <c r="D11" s="25" t="s">
        <v>12</v>
      </c>
      <c r="E11" s="25" t="s">
        <v>33</v>
      </c>
      <c r="F11" s="25" t="s">
        <v>14</v>
      </c>
      <c r="G11" s="25" t="s">
        <v>32</v>
      </c>
      <c r="H11" s="12" t="s">
        <v>35</v>
      </c>
      <c r="I11" s="344" t="s">
        <v>34</v>
      </c>
      <c r="J11" s="12"/>
      <c r="K11" s="25" t="s">
        <v>12</v>
      </c>
      <c r="L11" s="25" t="s">
        <v>12</v>
      </c>
      <c r="M11" s="25" t="s">
        <v>14</v>
      </c>
      <c r="N11" s="25" t="s">
        <v>32</v>
      </c>
      <c r="O11" s="25" t="s">
        <v>53</v>
      </c>
      <c r="P11" s="25" t="s">
        <v>30</v>
      </c>
      <c r="Q11" s="25" t="s">
        <v>33</v>
      </c>
      <c r="R11" s="344" t="s">
        <v>37</v>
      </c>
      <c r="S11" s="37"/>
      <c r="T11" s="25" t="s">
        <v>14</v>
      </c>
      <c r="U11" s="25" t="s">
        <v>38</v>
      </c>
      <c r="V11" s="25" t="s">
        <v>12</v>
      </c>
      <c r="W11" s="360" t="s">
        <v>29</v>
      </c>
      <c r="X11" s="25" t="s">
        <v>30</v>
      </c>
      <c r="Y11" s="25" t="s">
        <v>39</v>
      </c>
      <c r="Z11" s="25" t="s">
        <v>32</v>
      </c>
      <c r="AA11" s="344" t="s">
        <v>40</v>
      </c>
      <c r="AB11" s="37"/>
      <c r="AC11" s="25" t="s">
        <v>32</v>
      </c>
      <c r="AD11" s="25" t="s">
        <v>14</v>
      </c>
      <c r="AE11" s="25" t="s">
        <v>12</v>
      </c>
      <c r="AF11" s="360" t="s">
        <v>31</v>
      </c>
      <c r="AG11" s="25" t="s">
        <v>33</v>
      </c>
      <c r="AH11" s="25" t="s">
        <v>36</v>
      </c>
      <c r="AI11" s="25" t="s">
        <v>35</v>
      </c>
      <c r="AJ11" s="344" t="s">
        <v>41</v>
      </c>
      <c r="AK11" s="12"/>
      <c r="AL11" s="25" t="s">
        <v>14</v>
      </c>
      <c r="AM11" s="25" t="s">
        <v>26</v>
      </c>
      <c r="AN11" s="25" t="s">
        <v>30</v>
      </c>
      <c r="AO11" s="25" t="s">
        <v>32</v>
      </c>
      <c r="AP11" s="25" t="s">
        <v>53</v>
      </c>
      <c r="AQ11" s="25" t="s">
        <v>12</v>
      </c>
      <c r="AR11" s="25" t="s">
        <v>43</v>
      </c>
      <c r="AS11" s="25" t="s">
        <v>29</v>
      </c>
      <c r="AT11" s="358">
        <f t="shared" si="0"/>
        <v>6</v>
      </c>
      <c r="AU11" s="358">
        <f t="shared" si="1"/>
        <v>5</v>
      </c>
      <c r="AV11" s="358">
        <f t="shared" si="2"/>
        <v>5</v>
      </c>
      <c r="AW11" s="358">
        <f t="shared" si="3"/>
        <v>2</v>
      </c>
      <c r="AX11" s="358">
        <f t="shared" si="4"/>
        <v>2</v>
      </c>
      <c r="AY11" s="358">
        <f t="shared" si="5"/>
        <v>3</v>
      </c>
      <c r="AZ11" s="358">
        <f t="shared" si="6"/>
        <v>3</v>
      </c>
      <c r="BA11" s="358">
        <f t="shared" si="7"/>
        <v>3</v>
      </c>
      <c r="BB11" s="358">
        <f t="shared" si="8"/>
        <v>1</v>
      </c>
      <c r="BC11" s="358">
        <f t="shared" si="9"/>
        <v>1</v>
      </c>
      <c r="BD11" s="358">
        <f t="shared" si="10"/>
        <v>1</v>
      </c>
      <c r="BE11" s="358">
        <f t="shared" si="11"/>
        <v>1</v>
      </c>
      <c r="BF11" s="358">
        <f t="shared" si="12"/>
        <v>1</v>
      </c>
      <c r="BG11" s="358">
        <f t="shared" si="13"/>
        <v>1</v>
      </c>
      <c r="BH11" s="358">
        <f t="shared" si="14"/>
        <v>1</v>
      </c>
      <c r="BI11" s="358">
        <f t="shared" si="15"/>
        <v>0</v>
      </c>
    </row>
    <row r="12" s="26" customFormat="1" ht="47.1" customHeight="1" spans="1:61">
      <c r="A12" s="343" t="s">
        <v>54</v>
      </c>
      <c r="B12" s="25" t="s">
        <v>36</v>
      </c>
      <c r="C12" s="25" t="s">
        <v>32</v>
      </c>
      <c r="D12" s="25" t="s">
        <v>14</v>
      </c>
      <c r="E12" s="25" t="s">
        <v>43</v>
      </c>
      <c r="F12" s="25" t="s">
        <v>30</v>
      </c>
      <c r="G12" s="25" t="s">
        <v>12</v>
      </c>
      <c r="H12" s="25" t="s">
        <v>33</v>
      </c>
      <c r="I12" s="344" t="s">
        <v>34</v>
      </c>
      <c r="J12" s="37"/>
      <c r="K12" s="25" t="s">
        <v>32</v>
      </c>
      <c r="L12" s="25" t="s">
        <v>53</v>
      </c>
      <c r="M12" s="25" t="s">
        <v>29</v>
      </c>
      <c r="N12" s="25" t="s">
        <v>12</v>
      </c>
      <c r="O12" s="25" t="s">
        <v>12</v>
      </c>
      <c r="P12" s="12" t="s">
        <v>14</v>
      </c>
      <c r="Q12" s="25" t="s">
        <v>35</v>
      </c>
      <c r="R12" s="344" t="s">
        <v>37</v>
      </c>
      <c r="S12" s="37"/>
      <c r="T12" s="25" t="s">
        <v>29</v>
      </c>
      <c r="U12" s="360" t="s">
        <v>36</v>
      </c>
      <c r="V12" s="362" t="s">
        <v>39</v>
      </c>
      <c r="W12" s="25" t="s">
        <v>14</v>
      </c>
      <c r="X12" s="25" t="s">
        <v>12</v>
      </c>
      <c r="Y12" s="25" t="s">
        <v>32</v>
      </c>
      <c r="Z12" s="25" t="s">
        <v>33</v>
      </c>
      <c r="AA12" s="360" t="s">
        <v>40</v>
      </c>
      <c r="AB12" s="37"/>
      <c r="AC12" s="25" t="s">
        <v>35</v>
      </c>
      <c r="AD12" s="25" t="s">
        <v>12</v>
      </c>
      <c r="AE12" s="25" t="s">
        <v>14</v>
      </c>
      <c r="AF12" s="25" t="s">
        <v>32</v>
      </c>
      <c r="AG12" s="25" t="s">
        <v>38</v>
      </c>
      <c r="AH12" s="25" t="s">
        <v>30</v>
      </c>
      <c r="AI12" s="360" t="s">
        <v>31</v>
      </c>
      <c r="AJ12" s="344" t="s">
        <v>41</v>
      </c>
      <c r="AK12" s="12"/>
      <c r="AL12" s="25" t="s">
        <v>32</v>
      </c>
      <c r="AM12" s="25" t="s">
        <v>53</v>
      </c>
      <c r="AN12" s="25" t="s">
        <v>29</v>
      </c>
      <c r="AO12" s="25" t="s">
        <v>14</v>
      </c>
      <c r="AP12" s="25" t="s">
        <v>26</v>
      </c>
      <c r="AQ12" s="25" t="s">
        <v>33</v>
      </c>
      <c r="AR12" s="25" t="s">
        <v>30</v>
      </c>
      <c r="AS12" s="25" t="s">
        <v>12</v>
      </c>
      <c r="AT12" s="358">
        <f t="shared" si="0"/>
        <v>6</v>
      </c>
      <c r="AU12" s="358">
        <f t="shared" si="1"/>
        <v>5</v>
      </c>
      <c r="AV12" s="358">
        <f t="shared" si="2"/>
        <v>5</v>
      </c>
      <c r="AW12" s="358">
        <f t="shared" si="3"/>
        <v>2</v>
      </c>
      <c r="AX12" s="358">
        <f t="shared" si="4"/>
        <v>2</v>
      </c>
      <c r="AY12" s="358">
        <f t="shared" si="5"/>
        <v>3</v>
      </c>
      <c r="AZ12" s="358">
        <f t="shared" si="6"/>
        <v>3</v>
      </c>
      <c r="BA12" s="358">
        <f t="shared" si="7"/>
        <v>3</v>
      </c>
      <c r="BB12" s="358">
        <f t="shared" si="8"/>
        <v>1</v>
      </c>
      <c r="BC12" s="358">
        <f t="shared" si="9"/>
        <v>1</v>
      </c>
      <c r="BD12" s="358">
        <f t="shared" si="10"/>
        <v>1</v>
      </c>
      <c r="BE12" s="358">
        <f t="shared" si="11"/>
        <v>1</v>
      </c>
      <c r="BF12" s="358">
        <f t="shared" si="12"/>
        <v>1</v>
      </c>
      <c r="BG12" s="358">
        <f t="shared" si="13"/>
        <v>1</v>
      </c>
      <c r="BH12" s="358">
        <f t="shared" si="14"/>
        <v>1</v>
      </c>
      <c r="BI12" s="358">
        <f t="shared" si="15"/>
        <v>0</v>
      </c>
    </row>
    <row r="13" s="26" customFormat="1" ht="47.1" customHeight="1" spans="1:61">
      <c r="A13" s="343" t="s">
        <v>55</v>
      </c>
      <c r="B13" s="25" t="s">
        <v>32</v>
      </c>
      <c r="C13" s="360" t="s">
        <v>33</v>
      </c>
      <c r="D13" s="360" t="s">
        <v>29</v>
      </c>
      <c r="E13" s="25" t="s">
        <v>36</v>
      </c>
      <c r="F13" s="25" t="s">
        <v>43</v>
      </c>
      <c r="G13" s="25" t="s">
        <v>12</v>
      </c>
      <c r="H13" s="25" t="s">
        <v>14</v>
      </c>
      <c r="I13" s="344" t="s">
        <v>34</v>
      </c>
      <c r="J13" s="37"/>
      <c r="K13" s="25" t="s">
        <v>12</v>
      </c>
      <c r="L13" s="25" t="s">
        <v>12</v>
      </c>
      <c r="M13" s="360" t="s">
        <v>35</v>
      </c>
      <c r="N13" s="360" t="s">
        <v>32</v>
      </c>
      <c r="O13" s="360" t="s">
        <v>56</v>
      </c>
      <c r="P13" s="360" t="s">
        <v>14</v>
      </c>
      <c r="Q13" s="25" t="s">
        <v>31</v>
      </c>
      <c r="R13" s="344" t="s">
        <v>37</v>
      </c>
      <c r="S13" s="37"/>
      <c r="T13" s="25" t="s">
        <v>14</v>
      </c>
      <c r="U13" s="25" t="s">
        <v>26</v>
      </c>
      <c r="V13" s="25" t="s">
        <v>29</v>
      </c>
      <c r="W13" s="25" t="s">
        <v>12</v>
      </c>
      <c r="X13" s="25" t="s">
        <v>38</v>
      </c>
      <c r="Y13" s="25" t="s">
        <v>32</v>
      </c>
      <c r="Z13" s="362" t="s">
        <v>30</v>
      </c>
      <c r="AA13" s="362" t="s">
        <v>39</v>
      </c>
      <c r="AB13" s="12"/>
      <c r="AC13" s="25" t="s">
        <v>32</v>
      </c>
      <c r="AD13" s="360" t="s">
        <v>30</v>
      </c>
      <c r="AE13" s="25" t="s">
        <v>12</v>
      </c>
      <c r="AF13" s="25" t="s">
        <v>36</v>
      </c>
      <c r="AG13" s="25" t="s">
        <v>35</v>
      </c>
      <c r="AH13" s="25" t="s">
        <v>33</v>
      </c>
      <c r="AI13" s="25" t="s">
        <v>14</v>
      </c>
      <c r="AJ13" s="344" t="s">
        <v>41</v>
      </c>
      <c r="AK13" s="37"/>
      <c r="AL13" s="25" t="s">
        <v>32</v>
      </c>
      <c r="AM13" s="25" t="s">
        <v>56</v>
      </c>
      <c r="AN13" s="25" t="s">
        <v>30</v>
      </c>
      <c r="AO13" s="25" t="s">
        <v>29</v>
      </c>
      <c r="AP13" s="25" t="s">
        <v>14</v>
      </c>
      <c r="AQ13" s="25" t="s">
        <v>12</v>
      </c>
      <c r="AR13" s="25" t="s">
        <v>33</v>
      </c>
      <c r="AS13" s="25" t="s">
        <v>40</v>
      </c>
      <c r="AT13" s="358">
        <f t="shared" si="0"/>
        <v>6</v>
      </c>
      <c r="AU13" s="358">
        <f t="shared" si="1"/>
        <v>5</v>
      </c>
      <c r="AV13" s="358">
        <f t="shared" si="2"/>
        <v>5</v>
      </c>
      <c r="AW13" s="358">
        <f t="shared" si="3"/>
        <v>2</v>
      </c>
      <c r="AX13" s="358">
        <f t="shared" si="4"/>
        <v>2</v>
      </c>
      <c r="AY13" s="358">
        <f t="shared" si="5"/>
        <v>3</v>
      </c>
      <c r="AZ13" s="358">
        <f t="shared" si="6"/>
        <v>3</v>
      </c>
      <c r="BA13" s="358">
        <f t="shared" si="7"/>
        <v>3</v>
      </c>
      <c r="BB13" s="358">
        <f t="shared" si="8"/>
        <v>1</v>
      </c>
      <c r="BC13" s="358">
        <f t="shared" si="9"/>
        <v>1</v>
      </c>
      <c r="BD13" s="358">
        <f t="shared" si="10"/>
        <v>1</v>
      </c>
      <c r="BE13" s="358">
        <f t="shared" si="11"/>
        <v>1</v>
      </c>
      <c r="BF13" s="358">
        <f t="shared" si="12"/>
        <v>1</v>
      </c>
      <c r="BG13" s="358">
        <f t="shared" si="13"/>
        <v>1</v>
      </c>
      <c r="BH13" s="358">
        <f t="shared" si="14"/>
        <v>1</v>
      </c>
      <c r="BI13" s="358">
        <f t="shared" si="15"/>
        <v>0</v>
      </c>
    </row>
    <row r="14" s="26" customFormat="1" ht="47.1" customHeight="1" spans="1:61">
      <c r="A14" s="343" t="s">
        <v>57</v>
      </c>
      <c r="B14" s="25" t="s">
        <v>14</v>
      </c>
      <c r="C14" s="25" t="s">
        <v>12</v>
      </c>
      <c r="D14" s="12" t="s">
        <v>35</v>
      </c>
      <c r="E14" s="25" t="s">
        <v>32</v>
      </c>
      <c r="F14" s="25" t="s">
        <v>36</v>
      </c>
      <c r="G14" s="25" t="s">
        <v>33</v>
      </c>
      <c r="H14" s="25" t="s">
        <v>29</v>
      </c>
      <c r="I14" s="344" t="s">
        <v>34</v>
      </c>
      <c r="J14" s="37"/>
      <c r="K14" s="25" t="s">
        <v>32</v>
      </c>
      <c r="L14" s="25" t="s">
        <v>56</v>
      </c>
      <c r="M14" s="360" t="s">
        <v>14</v>
      </c>
      <c r="N14" s="25" t="s">
        <v>12</v>
      </c>
      <c r="O14" s="25" t="s">
        <v>12</v>
      </c>
      <c r="P14" s="25" t="s">
        <v>33</v>
      </c>
      <c r="Q14" s="25" t="s">
        <v>30</v>
      </c>
      <c r="R14" s="344" t="s">
        <v>37</v>
      </c>
      <c r="S14" s="37"/>
      <c r="T14" s="25" t="s">
        <v>36</v>
      </c>
      <c r="U14" s="360" t="s">
        <v>29</v>
      </c>
      <c r="V14" s="25" t="s">
        <v>12</v>
      </c>
      <c r="W14" s="25" t="s">
        <v>14</v>
      </c>
      <c r="X14" s="25" t="s">
        <v>26</v>
      </c>
      <c r="Y14" s="25" t="s">
        <v>35</v>
      </c>
      <c r="Z14" s="25" t="s">
        <v>32</v>
      </c>
      <c r="AA14" s="360" t="s">
        <v>30</v>
      </c>
      <c r="AB14" s="12"/>
      <c r="AC14" s="25" t="s">
        <v>12</v>
      </c>
      <c r="AD14" s="25" t="s">
        <v>33</v>
      </c>
      <c r="AE14" s="25" t="s">
        <v>14</v>
      </c>
      <c r="AF14" s="25" t="s">
        <v>38</v>
      </c>
      <c r="AG14" s="25" t="s">
        <v>30</v>
      </c>
      <c r="AH14" s="25" t="s">
        <v>32</v>
      </c>
      <c r="AI14" s="25" t="s">
        <v>39</v>
      </c>
      <c r="AJ14" s="344" t="s">
        <v>41</v>
      </c>
      <c r="AK14" s="12"/>
      <c r="AL14" s="25" t="s">
        <v>29</v>
      </c>
      <c r="AM14" s="25" t="s">
        <v>43</v>
      </c>
      <c r="AN14" s="25" t="s">
        <v>14</v>
      </c>
      <c r="AO14" s="25" t="s">
        <v>32</v>
      </c>
      <c r="AP14" s="25" t="s">
        <v>56</v>
      </c>
      <c r="AQ14" s="25" t="s">
        <v>31</v>
      </c>
      <c r="AR14" s="25" t="s">
        <v>12</v>
      </c>
      <c r="AS14" s="360" t="s">
        <v>40</v>
      </c>
      <c r="AT14" s="358">
        <f t="shared" si="0"/>
        <v>6</v>
      </c>
      <c r="AU14" s="358">
        <f t="shared" si="1"/>
        <v>5</v>
      </c>
      <c r="AV14" s="358">
        <f t="shared" si="2"/>
        <v>5</v>
      </c>
      <c r="AW14" s="358">
        <f t="shared" si="3"/>
        <v>2</v>
      </c>
      <c r="AX14" s="358">
        <f t="shared" si="4"/>
        <v>2</v>
      </c>
      <c r="AY14" s="358">
        <f t="shared" si="5"/>
        <v>3</v>
      </c>
      <c r="AZ14" s="358">
        <f t="shared" si="6"/>
        <v>3</v>
      </c>
      <c r="BA14" s="358">
        <f t="shared" si="7"/>
        <v>3</v>
      </c>
      <c r="BB14" s="358">
        <f t="shared" si="8"/>
        <v>1</v>
      </c>
      <c r="BC14" s="358">
        <f t="shared" si="9"/>
        <v>1</v>
      </c>
      <c r="BD14" s="358">
        <f t="shared" si="10"/>
        <v>1</v>
      </c>
      <c r="BE14" s="358">
        <f t="shared" si="11"/>
        <v>1</v>
      </c>
      <c r="BF14" s="358">
        <f t="shared" si="12"/>
        <v>1</v>
      </c>
      <c r="BG14" s="358">
        <f t="shared" si="13"/>
        <v>1</v>
      </c>
      <c r="BH14" s="358">
        <f t="shared" si="14"/>
        <v>1</v>
      </c>
      <c r="BI14" s="358">
        <f t="shared" si="15"/>
        <v>0</v>
      </c>
    </row>
    <row r="15" s="26" customFormat="1" ht="47.1" customHeight="1" spans="1:61">
      <c r="A15" s="343" t="s">
        <v>58</v>
      </c>
      <c r="B15" s="25" t="s">
        <v>43</v>
      </c>
      <c r="C15" s="25" t="s">
        <v>29</v>
      </c>
      <c r="D15" s="25" t="s">
        <v>32</v>
      </c>
      <c r="E15" s="25" t="s">
        <v>33</v>
      </c>
      <c r="F15" s="25" t="s">
        <v>14</v>
      </c>
      <c r="G15" s="25" t="s">
        <v>30</v>
      </c>
      <c r="H15" s="25" t="s">
        <v>12</v>
      </c>
      <c r="I15" s="344" t="s">
        <v>34</v>
      </c>
      <c r="J15" s="37"/>
      <c r="K15" s="25" t="s">
        <v>12</v>
      </c>
      <c r="L15" s="25" t="s">
        <v>12</v>
      </c>
      <c r="M15" s="25" t="s">
        <v>14</v>
      </c>
      <c r="N15" s="25" t="s">
        <v>59</v>
      </c>
      <c r="O15" s="25" t="s">
        <v>32</v>
      </c>
      <c r="P15" s="25" t="s">
        <v>33</v>
      </c>
      <c r="Q15" s="25" t="s">
        <v>36</v>
      </c>
      <c r="R15" s="344" t="s">
        <v>37</v>
      </c>
      <c r="S15" s="12"/>
      <c r="T15" s="25" t="s">
        <v>14</v>
      </c>
      <c r="U15" s="25" t="s">
        <v>26</v>
      </c>
      <c r="V15" s="25" t="s">
        <v>12</v>
      </c>
      <c r="W15" s="25" t="s">
        <v>29</v>
      </c>
      <c r="X15" s="25" t="s">
        <v>30</v>
      </c>
      <c r="Y15" s="25" t="s">
        <v>32</v>
      </c>
      <c r="Z15" s="25" t="s">
        <v>35</v>
      </c>
      <c r="AA15" s="25" t="s">
        <v>39</v>
      </c>
      <c r="AB15" s="12"/>
      <c r="AC15" s="25" t="s">
        <v>32</v>
      </c>
      <c r="AD15" s="25" t="s">
        <v>38</v>
      </c>
      <c r="AE15" s="25" t="s">
        <v>33</v>
      </c>
      <c r="AF15" s="25" t="s">
        <v>40</v>
      </c>
      <c r="AG15" s="25" t="s">
        <v>12</v>
      </c>
      <c r="AH15" s="25" t="s">
        <v>29</v>
      </c>
      <c r="AI15" s="25" t="s">
        <v>14</v>
      </c>
      <c r="AJ15" s="344" t="s">
        <v>41</v>
      </c>
      <c r="AK15" s="12"/>
      <c r="AL15" s="25" t="s">
        <v>14</v>
      </c>
      <c r="AM15" s="25" t="s">
        <v>30</v>
      </c>
      <c r="AN15" s="25" t="s">
        <v>35</v>
      </c>
      <c r="AO15" s="25" t="s">
        <v>32</v>
      </c>
      <c r="AP15" s="25" t="s">
        <v>59</v>
      </c>
      <c r="AQ15" s="25" t="s">
        <v>36</v>
      </c>
      <c r="AR15" s="25" t="s">
        <v>31</v>
      </c>
      <c r="AS15" s="12" t="s">
        <v>12</v>
      </c>
      <c r="AT15" s="358">
        <f t="shared" si="0"/>
        <v>6</v>
      </c>
      <c r="AU15" s="358">
        <f t="shared" si="1"/>
        <v>5</v>
      </c>
      <c r="AV15" s="358">
        <f t="shared" si="2"/>
        <v>5</v>
      </c>
      <c r="AW15" s="358">
        <f t="shared" si="3"/>
        <v>2</v>
      </c>
      <c r="AX15" s="358">
        <f t="shared" si="4"/>
        <v>2</v>
      </c>
      <c r="AY15" s="358">
        <f t="shared" si="5"/>
        <v>3</v>
      </c>
      <c r="AZ15" s="358">
        <f t="shared" si="6"/>
        <v>3</v>
      </c>
      <c r="BA15" s="358">
        <f t="shared" si="7"/>
        <v>3</v>
      </c>
      <c r="BB15" s="358">
        <f t="shared" si="8"/>
        <v>1</v>
      </c>
      <c r="BC15" s="358">
        <f t="shared" si="9"/>
        <v>1</v>
      </c>
      <c r="BD15" s="358">
        <f t="shared" si="10"/>
        <v>1</v>
      </c>
      <c r="BE15" s="358">
        <f t="shared" si="11"/>
        <v>1</v>
      </c>
      <c r="BF15" s="358">
        <f t="shared" si="12"/>
        <v>1</v>
      </c>
      <c r="BG15" s="358">
        <f t="shared" si="13"/>
        <v>1</v>
      </c>
      <c r="BH15" s="358">
        <f t="shared" si="14"/>
        <v>1</v>
      </c>
      <c r="BI15" s="358">
        <f t="shared" si="15"/>
        <v>0</v>
      </c>
    </row>
    <row r="16" s="26" customFormat="1" ht="47.1" customHeight="1" spans="1:61">
      <c r="A16" s="343" t="s">
        <v>60</v>
      </c>
      <c r="B16" s="25" t="s">
        <v>36</v>
      </c>
      <c r="C16" s="25" t="s">
        <v>32</v>
      </c>
      <c r="D16" s="25" t="s">
        <v>43</v>
      </c>
      <c r="E16" s="25" t="s">
        <v>14</v>
      </c>
      <c r="F16" s="25" t="s">
        <v>12</v>
      </c>
      <c r="G16" s="25" t="s">
        <v>35</v>
      </c>
      <c r="H16" s="25" t="s">
        <v>38</v>
      </c>
      <c r="I16" s="344" t="s">
        <v>34</v>
      </c>
      <c r="J16" s="37"/>
      <c r="K16" s="25" t="s">
        <v>32</v>
      </c>
      <c r="L16" s="25" t="s">
        <v>59</v>
      </c>
      <c r="M16" s="25" t="s">
        <v>33</v>
      </c>
      <c r="N16" s="25" t="s">
        <v>12</v>
      </c>
      <c r="O16" s="25" t="s">
        <v>12</v>
      </c>
      <c r="P16" s="25" t="s">
        <v>14</v>
      </c>
      <c r="Q16" s="25" t="s">
        <v>29</v>
      </c>
      <c r="R16" s="344" t="s">
        <v>37</v>
      </c>
      <c r="S16" s="12"/>
      <c r="T16" s="25" t="s">
        <v>29</v>
      </c>
      <c r="U16" s="25" t="s">
        <v>12</v>
      </c>
      <c r="V16" s="25" t="s">
        <v>30</v>
      </c>
      <c r="W16" s="25" t="s">
        <v>14</v>
      </c>
      <c r="X16" s="25" t="s">
        <v>26</v>
      </c>
      <c r="Y16" s="344" t="s">
        <v>40</v>
      </c>
      <c r="Z16" s="25" t="s">
        <v>32</v>
      </c>
      <c r="AA16" s="25" t="s">
        <v>31</v>
      </c>
      <c r="AB16" s="37"/>
      <c r="AC16" s="25" t="s">
        <v>12</v>
      </c>
      <c r="AD16" s="25" t="s">
        <v>14</v>
      </c>
      <c r="AE16" s="25" t="s">
        <v>36</v>
      </c>
      <c r="AF16" s="25" t="s">
        <v>32</v>
      </c>
      <c r="AG16" s="25" t="s">
        <v>33</v>
      </c>
      <c r="AH16" s="25" t="s">
        <v>35</v>
      </c>
      <c r="AI16" s="25" t="s">
        <v>30</v>
      </c>
      <c r="AJ16" s="344" t="s">
        <v>41</v>
      </c>
      <c r="AK16" s="37"/>
      <c r="AL16" s="25" t="s">
        <v>59</v>
      </c>
      <c r="AM16" s="25" t="s">
        <v>32</v>
      </c>
      <c r="AN16" s="25" t="s">
        <v>39</v>
      </c>
      <c r="AO16" s="25" t="s">
        <v>14</v>
      </c>
      <c r="AP16" s="25" t="s">
        <v>29</v>
      </c>
      <c r="AQ16" s="12" t="s">
        <v>12</v>
      </c>
      <c r="AR16" s="360" t="s">
        <v>33</v>
      </c>
      <c r="AS16" s="360" t="s">
        <v>30</v>
      </c>
      <c r="AT16" s="358">
        <f t="shared" si="0"/>
        <v>6</v>
      </c>
      <c r="AU16" s="358">
        <f t="shared" si="1"/>
        <v>5</v>
      </c>
      <c r="AV16" s="358">
        <f t="shared" si="2"/>
        <v>5</v>
      </c>
      <c r="AW16" s="358">
        <f t="shared" si="3"/>
        <v>2</v>
      </c>
      <c r="AX16" s="358">
        <f t="shared" si="4"/>
        <v>2</v>
      </c>
      <c r="AY16" s="358">
        <f t="shared" si="5"/>
        <v>3</v>
      </c>
      <c r="AZ16" s="358">
        <f t="shared" si="6"/>
        <v>3</v>
      </c>
      <c r="BA16" s="358">
        <f t="shared" si="7"/>
        <v>3</v>
      </c>
      <c r="BB16" s="358">
        <f t="shared" si="8"/>
        <v>1</v>
      </c>
      <c r="BC16" s="358">
        <f t="shared" si="9"/>
        <v>1</v>
      </c>
      <c r="BD16" s="358">
        <f t="shared" si="10"/>
        <v>1</v>
      </c>
      <c r="BE16" s="358">
        <f t="shared" si="11"/>
        <v>1</v>
      </c>
      <c r="BF16" s="358">
        <f t="shared" si="12"/>
        <v>1</v>
      </c>
      <c r="BG16" s="358">
        <f t="shared" si="13"/>
        <v>1</v>
      </c>
      <c r="BH16" s="358">
        <f t="shared" si="14"/>
        <v>1</v>
      </c>
      <c r="BI16" s="358">
        <f t="shared" si="15"/>
        <v>0</v>
      </c>
    </row>
    <row r="17" s="26" customFormat="1" ht="47.1" customHeight="1" spans="1:61">
      <c r="A17" s="343" t="s">
        <v>61</v>
      </c>
      <c r="B17" s="25" t="s">
        <v>14</v>
      </c>
      <c r="C17" s="360" t="s">
        <v>30</v>
      </c>
      <c r="D17" s="25" t="s">
        <v>32</v>
      </c>
      <c r="E17" s="25" t="s">
        <v>12</v>
      </c>
      <c r="F17" s="360" t="s">
        <v>33</v>
      </c>
      <c r="G17" s="25" t="s">
        <v>29</v>
      </c>
      <c r="H17" s="25" t="s">
        <v>35</v>
      </c>
      <c r="I17" s="344" t="s">
        <v>34</v>
      </c>
      <c r="J17" s="37"/>
      <c r="K17" s="25" t="s">
        <v>12</v>
      </c>
      <c r="L17" s="25" t="s">
        <v>12</v>
      </c>
      <c r="M17" s="25" t="s">
        <v>14</v>
      </c>
      <c r="N17" s="25" t="s">
        <v>62</v>
      </c>
      <c r="O17" s="25" t="s">
        <v>32</v>
      </c>
      <c r="P17" s="12" t="s">
        <v>38</v>
      </c>
      <c r="Q17" s="25" t="s">
        <v>43</v>
      </c>
      <c r="R17" s="344" t="s">
        <v>37</v>
      </c>
      <c r="S17" s="25"/>
      <c r="T17" s="25" t="s">
        <v>39</v>
      </c>
      <c r="U17" s="25" t="s">
        <v>29</v>
      </c>
      <c r="V17" s="25" t="s">
        <v>12</v>
      </c>
      <c r="W17" s="25" t="s">
        <v>14</v>
      </c>
      <c r="X17" s="25" t="s">
        <v>30</v>
      </c>
      <c r="Y17" s="25" t="s">
        <v>32</v>
      </c>
      <c r="Z17" s="25" t="s">
        <v>33</v>
      </c>
      <c r="AA17" s="25" t="s">
        <v>36</v>
      </c>
      <c r="AB17" s="25"/>
      <c r="AC17" s="25" t="s">
        <v>32</v>
      </c>
      <c r="AD17" s="25" t="s">
        <v>62</v>
      </c>
      <c r="AE17" s="25" t="s">
        <v>12</v>
      </c>
      <c r="AF17" s="25" t="s">
        <v>26</v>
      </c>
      <c r="AG17" s="25" t="s">
        <v>14</v>
      </c>
      <c r="AH17" s="25" t="s">
        <v>31</v>
      </c>
      <c r="AI17" s="25" t="s">
        <v>35</v>
      </c>
      <c r="AJ17" s="344" t="s">
        <v>41</v>
      </c>
      <c r="AK17" s="12"/>
      <c r="AL17" s="25" t="s">
        <v>32</v>
      </c>
      <c r="AM17" s="25" t="s">
        <v>29</v>
      </c>
      <c r="AN17" s="360" t="s">
        <v>33</v>
      </c>
      <c r="AO17" s="25" t="s">
        <v>14</v>
      </c>
      <c r="AP17" s="360" t="s">
        <v>40</v>
      </c>
      <c r="AQ17" s="360" t="s">
        <v>30</v>
      </c>
      <c r="AR17" s="25" t="s">
        <v>12</v>
      </c>
      <c r="AS17" s="344" t="s">
        <v>36</v>
      </c>
      <c r="AT17" s="358">
        <f t="shared" si="0"/>
        <v>6</v>
      </c>
      <c r="AU17" s="358">
        <f t="shared" si="1"/>
        <v>5</v>
      </c>
      <c r="AV17" s="358">
        <f t="shared" si="2"/>
        <v>5</v>
      </c>
      <c r="AW17" s="358">
        <f t="shared" si="3"/>
        <v>2</v>
      </c>
      <c r="AX17" s="358">
        <f t="shared" si="4"/>
        <v>2</v>
      </c>
      <c r="AY17" s="358">
        <f t="shared" si="5"/>
        <v>3</v>
      </c>
      <c r="AZ17" s="358">
        <f t="shared" si="6"/>
        <v>3</v>
      </c>
      <c r="BA17" s="358">
        <f t="shared" si="7"/>
        <v>3</v>
      </c>
      <c r="BB17" s="358">
        <f t="shared" si="8"/>
        <v>1</v>
      </c>
      <c r="BC17" s="358">
        <f t="shared" si="9"/>
        <v>1</v>
      </c>
      <c r="BD17" s="358">
        <f t="shared" si="10"/>
        <v>1</v>
      </c>
      <c r="BE17" s="358">
        <f t="shared" si="11"/>
        <v>1</v>
      </c>
      <c r="BF17" s="358">
        <f t="shared" si="12"/>
        <v>1</v>
      </c>
      <c r="BG17" s="358">
        <f t="shared" si="13"/>
        <v>1</v>
      </c>
      <c r="BH17" s="358">
        <f t="shared" si="14"/>
        <v>1</v>
      </c>
      <c r="BI17" s="358">
        <f t="shared" si="15"/>
        <v>0</v>
      </c>
    </row>
    <row r="18" s="26" customFormat="1" ht="47.1" customHeight="1" spans="1:61">
      <c r="A18" s="343" t="s">
        <v>63</v>
      </c>
      <c r="B18" s="360" t="s">
        <v>40</v>
      </c>
      <c r="C18" s="360" t="s">
        <v>32</v>
      </c>
      <c r="D18" s="25" t="s">
        <v>36</v>
      </c>
      <c r="E18" s="25" t="s">
        <v>29</v>
      </c>
      <c r="F18" s="25" t="s">
        <v>12</v>
      </c>
      <c r="G18" s="25" t="s">
        <v>14</v>
      </c>
      <c r="H18" s="25" t="s">
        <v>33</v>
      </c>
      <c r="I18" s="344" t="s">
        <v>34</v>
      </c>
      <c r="J18" s="37"/>
      <c r="K18" s="25" t="s">
        <v>32</v>
      </c>
      <c r="L18" s="25" t="s">
        <v>62</v>
      </c>
      <c r="M18" s="25" t="s">
        <v>35</v>
      </c>
      <c r="N18" s="25" t="s">
        <v>12</v>
      </c>
      <c r="O18" s="25" t="s">
        <v>12</v>
      </c>
      <c r="P18" s="25" t="s">
        <v>29</v>
      </c>
      <c r="Q18" s="25" t="s">
        <v>14</v>
      </c>
      <c r="R18" s="344" t="s">
        <v>37</v>
      </c>
      <c r="S18" s="12"/>
      <c r="T18" s="25" t="s">
        <v>14</v>
      </c>
      <c r="U18" s="25" t="s">
        <v>26</v>
      </c>
      <c r="V18" s="25" t="s">
        <v>36</v>
      </c>
      <c r="W18" s="25" t="s">
        <v>12</v>
      </c>
      <c r="X18" s="12" t="s">
        <v>39</v>
      </c>
      <c r="Y18" s="25" t="s">
        <v>33</v>
      </c>
      <c r="Z18" s="25" t="s">
        <v>32</v>
      </c>
      <c r="AA18" s="25" t="s">
        <v>30</v>
      </c>
      <c r="AB18" s="37"/>
      <c r="AC18" s="25" t="s">
        <v>12</v>
      </c>
      <c r="AD18" s="25" t="s">
        <v>14</v>
      </c>
      <c r="AE18" s="25" t="s">
        <v>35</v>
      </c>
      <c r="AF18" s="25" t="s">
        <v>30</v>
      </c>
      <c r="AG18" s="25" t="s">
        <v>38</v>
      </c>
      <c r="AH18" s="25" t="s">
        <v>32</v>
      </c>
      <c r="AI18" s="25" t="s">
        <v>62</v>
      </c>
      <c r="AJ18" s="344" t="s">
        <v>41</v>
      </c>
      <c r="AK18" s="25"/>
      <c r="AL18" s="25" t="s">
        <v>29</v>
      </c>
      <c r="AM18" s="25" t="s">
        <v>33</v>
      </c>
      <c r="AN18" s="25" t="s">
        <v>32</v>
      </c>
      <c r="AO18" s="25" t="s">
        <v>43</v>
      </c>
      <c r="AP18" s="25" t="s">
        <v>14</v>
      </c>
      <c r="AQ18" s="25" t="s">
        <v>12</v>
      </c>
      <c r="AR18" s="25" t="s">
        <v>30</v>
      </c>
      <c r="AS18" s="25" t="s">
        <v>31</v>
      </c>
      <c r="AT18" s="358">
        <f t="shared" si="0"/>
        <v>6</v>
      </c>
      <c r="AU18" s="358">
        <f t="shared" si="1"/>
        <v>5</v>
      </c>
      <c r="AV18" s="358">
        <f t="shared" si="2"/>
        <v>5</v>
      </c>
      <c r="AW18" s="358">
        <f t="shared" si="3"/>
        <v>2</v>
      </c>
      <c r="AX18" s="358">
        <f t="shared" si="4"/>
        <v>2</v>
      </c>
      <c r="AY18" s="358">
        <f t="shared" si="5"/>
        <v>3</v>
      </c>
      <c r="AZ18" s="358">
        <f t="shared" si="6"/>
        <v>3</v>
      </c>
      <c r="BA18" s="358">
        <f t="shared" si="7"/>
        <v>3</v>
      </c>
      <c r="BB18" s="358">
        <f t="shared" si="8"/>
        <v>1</v>
      </c>
      <c r="BC18" s="358">
        <f t="shared" si="9"/>
        <v>1</v>
      </c>
      <c r="BD18" s="358">
        <f t="shared" si="10"/>
        <v>1</v>
      </c>
      <c r="BE18" s="358">
        <f t="shared" si="11"/>
        <v>1</v>
      </c>
      <c r="BF18" s="358">
        <f t="shared" si="12"/>
        <v>1</v>
      </c>
      <c r="BG18" s="358">
        <f t="shared" si="13"/>
        <v>1</v>
      </c>
      <c r="BH18" s="358">
        <f t="shared" si="14"/>
        <v>1</v>
      </c>
      <c r="BI18" s="358">
        <f t="shared" si="15"/>
        <v>0</v>
      </c>
    </row>
    <row r="19" s="26" customFormat="1" ht="47.1" customHeight="1" spans="1:61">
      <c r="A19" s="343" t="s">
        <v>64</v>
      </c>
      <c r="B19" s="25" t="s">
        <v>32</v>
      </c>
      <c r="C19" s="360" t="s">
        <v>29</v>
      </c>
      <c r="D19" s="25" t="s">
        <v>14</v>
      </c>
      <c r="E19" s="25" t="s">
        <v>39</v>
      </c>
      <c r="F19" s="25" t="s">
        <v>12</v>
      </c>
      <c r="G19" s="25" t="s">
        <v>30</v>
      </c>
      <c r="H19" s="25" t="s">
        <v>36</v>
      </c>
      <c r="I19" s="344" t="s">
        <v>34</v>
      </c>
      <c r="J19" s="37"/>
      <c r="K19" s="25" t="s">
        <v>12</v>
      </c>
      <c r="L19" s="25" t="s">
        <v>31</v>
      </c>
      <c r="M19" s="25" t="s">
        <v>33</v>
      </c>
      <c r="N19" s="25" t="s">
        <v>65</v>
      </c>
      <c r="O19" s="25" t="s">
        <v>32</v>
      </c>
      <c r="P19" s="25" t="s">
        <v>35</v>
      </c>
      <c r="Q19" s="25" t="s">
        <v>14</v>
      </c>
      <c r="R19" s="344" t="s">
        <v>37</v>
      </c>
      <c r="S19" s="12"/>
      <c r="T19" s="25" t="s">
        <v>14</v>
      </c>
      <c r="U19" s="25" t="s">
        <v>26</v>
      </c>
      <c r="V19" s="25" t="s">
        <v>29</v>
      </c>
      <c r="W19" s="25" t="s">
        <v>12</v>
      </c>
      <c r="X19" s="25" t="s">
        <v>12</v>
      </c>
      <c r="Y19" s="25" t="s">
        <v>30</v>
      </c>
      <c r="Z19" s="25" t="s">
        <v>33</v>
      </c>
      <c r="AA19" s="25" t="s">
        <v>32</v>
      </c>
      <c r="AB19" s="12"/>
      <c r="AC19" s="25" t="s">
        <v>36</v>
      </c>
      <c r="AD19" s="25" t="s">
        <v>32</v>
      </c>
      <c r="AE19" s="25" t="s">
        <v>66</v>
      </c>
      <c r="AF19" s="25" t="s">
        <v>12</v>
      </c>
      <c r="AG19" s="360" t="s">
        <v>30</v>
      </c>
      <c r="AH19" s="360" t="s">
        <v>14</v>
      </c>
      <c r="AI19" s="25" t="s">
        <v>29</v>
      </c>
      <c r="AJ19" s="344" t="s">
        <v>41</v>
      </c>
      <c r="AK19" s="12"/>
      <c r="AL19" s="25" t="s">
        <v>14</v>
      </c>
      <c r="AM19" s="25" t="s">
        <v>35</v>
      </c>
      <c r="AN19" s="25" t="s">
        <v>38</v>
      </c>
      <c r="AO19" s="25" t="s">
        <v>32</v>
      </c>
      <c r="AP19" s="363" t="s">
        <v>43</v>
      </c>
      <c r="AQ19" s="363" t="s">
        <v>40</v>
      </c>
      <c r="AR19" s="25" t="s">
        <v>12</v>
      </c>
      <c r="AS19" s="11" t="s">
        <v>33</v>
      </c>
      <c r="AT19" s="358">
        <f t="shared" si="0"/>
        <v>6</v>
      </c>
      <c r="AU19" s="358">
        <f t="shared" si="1"/>
        <v>5</v>
      </c>
      <c r="AV19" s="358">
        <f t="shared" si="2"/>
        <v>5</v>
      </c>
      <c r="AW19" s="358">
        <f t="shared" si="3"/>
        <v>2</v>
      </c>
      <c r="AX19" s="358">
        <f t="shared" si="4"/>
        <v>2</v>
      </c>
      <c r="AY19" s="358">
        <f t="shared" si="5"/>
        <v>3</v>
      </c>
      <c r="AZ19" s="358">
        <f t="shared" si="6"/>
        <v>3</v>
      </c>
      <c r="BA19" s="358">
        <f t="shared" si="7"/>
        <v>3</v>
      </c>
      <c r="BB19" s="358">
        <f t="shared" si="8"/>
        <v>1</v>
      </c>
      <c r="BC19" s="358">
        <f t="shared" si="9"/>
        <v>1</v>
      </c>
      <c r="BD19" s="358">
        <f t="shared" si="10"/>
        <v>1</v>
      </c>
      <c r="BE19" s="358">
        <f t="shared" si="11"/>
        <v>1</v>
      </c>
      <c r="BF19" s="358">
        <f t="shared" si="12"/>
        <v>1</v>
      </c>
      <c r="BG19" s="358">
        <f t="shared" si="13"/>
        <v>1</v>
      </c>
      <c r="BH19" s="358">
        <f t="shared" si="14"/>
        <v>1</v>
      </c>
      <c r="BI19" s="358">
        <f t="shared" si="15"/>
        <v>0</v>
      </c>
    </row>
    <row r="20" s="26" customFormat="1" ht="47.1" customHeight="1" spans="1:61">
      <c r="A20" s="343" t="s">
        <v>67</v>
      </c>
      <c r="B20" s="360" t="s">
        <v>35</v>
      </c>
      <c r="C20" s="360" t="s">
        <v>14</v>
      </c>
      <c r="D20" s="25" t="s">
        <v>32</v>
      </c>
      <c r="E20" s="25" t="s">
        <v>12</v>
      </c>
      <c r="F20" s="25" t="s">
        <v>30</v>
      </c>
      <c r="G20" s="25" t="s">
        <v>33</v>
      </c>
      <c r="H20" s="25" t="s">
        <v>29</v>
      </c>
      <c r="I20" s="344" t="s">
        <v>34</v>
      </c>
      <c r="J20" s="12"/>
      <c r="K20" s="25" t="s">
        <v>32</v>
      </c>
      <c r="L20" s="25" t="s">
        <v>66</v>
      </c>
      <c r="M20" s="25" t="s">
        <v>31</v>
      </c>
      <c r="N20" s="25" t="s">
        <v>12</v>
      </c>
      <c r="O20" s="25" t="s">
        <v>14</v>
      </c>
      <c r="P20" s="25" t="s">
        <v>33</v>
      </c>
      <c r="Q20" s="25" t="s">
        <v>36</v>
      </c>
      <c r="R20" s="344" t="s">
        <v>37</v>
      </c>
      <c r="S20" s="37"/>
      <c r="T20" s="25" t="s">
        <v>29</v>
      </c>
      <c r="U20" s="25" t="s">
        <v>43</v>
      </c>
      <c r="V20" s="25" t="s">
        <v>30</v>
      </c>
      <c r="W20" s="25" t="s">
        <v>26</v>
      </c>
      <c r="X20" s="25" t="s">
        <v>14</v>
      </c>
      <c r="Y20" s="25" t="s">
        <v>32</v>
      </c>
      <c r="Z20" s="25" t="s">
        <v>12</v>
      </c>
      <c r="AA20" s="25" t="s">
        <v>12</v>
      </c>
      <c r="AB20" s="12"/>
      <c r="AC20" s="25" t="s">
        <v>12</v>
      </c>
      <c r="AD20" s="360" t="s">
        <v>14</v>
      </c>
      <c r="AE20" s="360" t="s">
        <v>35</v>
      </c>
      <c r="AF20" s="25" t="s">
        <v>33</v>
      </c>
      <c r="AG20" s="25" t="s">
        <v>29</v>
      </c>
      <c r="AH20" s="25" t="s">
        <v>32</v>
      </c>
      <c r="AI20" s="25" t="s">
        <v>66</v>
      </c>
      <c r="AJ20" s="344" t="s">
        <v>41</v>
      </c>
      <c r="AK20" s="12"/>
      <c r="AL20" s="25" t="s">
        <v>38</v>
      </c>
      <c r="AM20" s="25" t="s">
        <v>39</v>
      </c>
      <c r="AN20" s="25" t="s">
        <v>14</v>
      </c>
      <c r="AO20" s="25" t="s">
        <v>30</v>
      </c>
      <c r="AP20" s="25" t="s">
        <v>32</v>
      </c>
      <c r="AQ20" s="12" t="s">
        <v>12</v>
      </c>
      <c r="AR20" s="25" t="s">
        <v>36</v>
      </c>
      <c r="AS20" s="344" t="s">
        <v>40</v>
      </c>
      <c r="AT20" s="358">
        <f t="shared" si="0"/>
        <v>6</v>
      </c>
      <c r="AU20" s="358">
        <f t="shared" si="1"/>
        <v>5</v>
      </c>
      <c r="AV20" s="358">
        <f t="shared" si="2"/>
        <v>5</v>
      </c>
      <c r="AW20" s="358">
        <f t="shared" si="3"/>
        <v>2</v>
      </c>
      <c r="AX20" s="358">
        <f t="shared" si="4"/>
        <v>2</v>
      </c>
      <c r="AY20" s="358">
        <f t="shared" si="5"/>
        <v>3</v>
      </c>
      <c r="AZ20" s="358">
        <f t="shared" si="6"/>
        <v>3</v>
      </c>
      <c r="BA20" s="358">
        <f t="shared" si="7"/>
        <v>3</v>
      </c>
      <c r="BB20" s="358">
        <f t="shared" si="8"/>
        <v>1</v>
      </c>
      <c r="BC20" s="358">
        <f t="shared" si="9"/>
        <v>1</v>
      </c>
      <c r="BD20" s="358">
        <f t="shared" si="10"/>
        <v>1</v>
      </c>
      <c r="BE20" s="358">
        <f t="shared" si="11"/>
        <v>1</v>
      </c>
      <c r="BF20" s="358">
        <f t="shared" si="12"/>
        <v>1</v>
      </c>
      <c r="BG20" s="358">
        <f t="shared" si="13"/>
        <v>1</v>
      </c>
      <c r="BH20" s="358">
        <f t="shared" si="14"/>
        <v>1</v>
      </c>
      <c r="BI20" s="358">
        <f t="shared" si="15"/>
        <v>0</v>
      </c>
    </row>
    <row r="21" s="26" customFormat="1" ht="47.1" customHeight="1" spans="1:61">
      <c r="A21" s="343" t="s">
        <v>68</v>
      </c>
      <c r="B21" s="25" t="s">
        <v>12</v>
      </c>
      <c r="C21" s="25" t="s">
        <v>32</v>
      </c>
      <c r="D21" s="25" t="s">
        <v>35</v>
      </c>
      <c r="E21" s="25" t="s">
        <v>36</v>
      </c>
      <c r="F21" s="25" t="s">
        <v>14</v>
      </c>
      <c r="G21" s="25" t="s">
        <v>29</v>
      </c>
      <c r="H21" s="12" t="s">
        <v>33</v>
      </c>
      <c r="I21" s="344" t="s">
        <v>34</v>
      </c>
      <c r="J21" s="12"/>
      <c r="K21" s="25" t="s">
        <v>32</v>
      </c>
      <c r="L21" s="25" t="s">
        <v>69</v>
      </c>
      <c r="M21" s="25" t="s">
        <v>29</v>
      </c>
      <c r="N21" s="25" t="s">
        <v>12</v>
      </c>
      <c r="O21" s="25" t="s">
        <v>12</v>
      </c>
      <c r="P21" s="25" t="s">
        <v>38</v>
      </c>
      <c r="Q21" s="25" t="s">
        <v>14</v>
      </c>
      <c r="R21" s="344" t="s">
        <v>37</v>
      </c>
      <c r="S21" s="37"/>
      <c r="T21" s="25" t="s">
        <v>43</v>
      </c>
      <c r="U21" s="25" t="s">
        <v>36</v>
      </c>
      <c r="V21" s="25" t="s">
        <v>12</v>
      </c>
      <c r="W21" s="25" t="s">
        <v>14</v>
      </c>
      <c r="X21" s="25" t="s">
        <v>26</v>
      </c>
      <c r="Y21" s="25" t="s">
        <v>35</v>
      </c>
      <c r="Z21" s="25" t="s">
        <v>30</v>
      </c>
      <c r="AA21" s="25" t="s">
        <v>32</v>
      </c>
      <c r="AB21" s="37"/>
      <c r="AC21" s="25" t="s">
        <v>12</v>
      </c>
      <c r="AD21" s="360" t="s">
        <v>30</v>
      </c>
      <c r="AE21" s="360" t="s">
        <v>14</v>
      </c>
      <c r="AF21" s="25" t="s">
        <v>32</v>
      </c>
      <c r="AG21" s="25" t="s">
        <v>69</v>
      </c>
      <c r="AH21" s="25" t="s">
        <v>31</v>
      </c>
      <c r="AI21" s="25" t="s">
        <v>33</v>
      </c>
      <c r="AJ21" s="344" t="s">
        <v>41</v>
      </c>
      <c r="AK21" s="37"/>
      <c r="AL21" s="25" t="s">
        <v>14</v>
      </c>
      <c r="AM21" s="25" t="s">
        <v>32</v>
      </c>
      <c r="AN21" s="25" t="s">
        <v>39</v>
      </c>
      <c r="AO21" s="25" t="s">
        <v>29</v>
      </c>
      <c r="AP21" s="25" t="s">
        <v>40</v>
      </c>
      <c r="AQ21" s="25" t="s">
        <v>33</v>
      </c>
      <c r="AR21" s="25" t="s">
        <v>12</v>
      </c>
      <c r="AS21" s="344" t="s">
        <v>30</v>
      </c>
      <c r="AT21" s="358">
        <f t="shared" si="0"/>
        <v>6</v>
      </c>
      <c r="AU21" s="358">
        <f t="shared" si="1"/>
        <v>5</v>
      </c>
      <c r="AV21" s="358">
        <f t="shared" si="2"/>
        <v>5</v>
      </c>
      <c r="AW21" s="358">
        <f t="shared" si="3"/>
        <v>2</v>
      </c>
      <c r="AX21" s="358">
        <f t="shared" si="4"/>
        <v>2</v>
      </c>
      <c r="AY21" s="358">
        <f t="shared" si="5"/>
        <v>3</v>
      </c>
      <c r="AZ21" s="358">
        <f t="shared" si="6"/>
        <v>3</v>
      </c>
      <c r="BA21" s="358">
        <f t="shared" si="7"/>
        <v>3</v>
      </c>
      <c r="BB21" s="358">
        <f t="shared" si="8"/>
        <v>1</v>
      </c>
      <c r="BC21" s="358">
        <f t="shared" si="9"/>
        <v>1</v>
      </c>
      <c r="BD21" s="358">
        <f t="shared" si="10"/>
        <v>1</v>
      </c>
      <c r="BE21" s="358">
        <f t="shared" si="11"/>
        <v>1</v>
      </c>
      <c r="BF21" s="358">
        <f t="shared" si="12"/>
        <v>1</v>
      </c>
      <c r="BG21" s="358">
        <f t="shared" si="13"/>
        <v>1</v>
      </c>
      <c r="BH21" s="358">
        <f t="shared" si="14"/>
        <v>1</v>
      </c>
      <c r="BI21" s="358">
        <f t="shared" si="15"/>
        <v>0</v>
      </c>
    </row>
    <row r="22" s="26" customFormat="1" ht="47.1" customHeight="1" spans="1:61">
      <c r="A22" s="343" t="s">
        <v>70</v>
      </c>
      <c r="B22" s="360" t="s">
        <v>33</v>
      </c>
      <c r="C22" s="25" t="s">
        <v>14</v>
      </c>
      <c r="D22" s="25" t="s">
        <v>12</v>
      </c>
      <c r="E22" s="360" t="s">
        <v>29</v>
      </c>
      <c r="F22" s="12" t="s">
        <v>32</v>
      </c>
      <c r="G22" s="25" t="s">
        <v>30</v>
      </c>
      <c r="H22" s="25" t="s">
        <v>38</v>
      </c>
      <c r="I22" s="344" t="s">
        <v>34</v>
      </c>
      <c r="J22" s="37"/>
      <c r="K22" s="25" t="s">
        <v>12</v>
      </c>
      <c r="L22" s="25" t="s">
        <v>12</v>
      </c>
      <c r="M22" s="25" t="s">
        <v>35</v>
      </c>
      <c r="N22" s="25" t="s">
        <v>32</v>
      </c>
      <c r="O22" s="25" t="s">
        <v>69</v>
      </c>
      <c r="P22" s="25" t="s">
        <v>14</v>
      </c>
      <c r="Q22" s="25" t="s">
        <v>30</v>
      </c>
      <c r="R22" s="344" t="s">
        <v>37</v>
      </c>
      <c r="S22" s="12"/>
      <c r="T22" s="25" t="s">
        <v>14</v>
      </c>
      <c r="U22" s="25" t="s">
        <v>26</v>
      </c>
      <c r="V22" s="25" t="s">
        <v>29</v>
      </c>
      <c r="W22" s="25" t="s">
        <v>36</v>
      </c>
      <c r="X22" s="25" t="s">
        <v>12</v>
      </c>
      <c r="Y22" s="25" t="s">
        <v>33</v>
      </c>
      <c r="Z22" s="25" t="s">
        <v>32</v>
      </c>
      <c r="AA22" s="25" t="s">
        <v>30</v>
      </c>
      <c r="AB22" s="37"/>
      <c r="AC22" s="25" t="s">
        <v>32</v>
      </c>
      <c r="AD22" s="25" t="s">
        <v>69</v>
      </c>
      <c r="AE22" s="25" t="s">
        <v>12</v>
      </c>
      <c r="AF22" s="25" t="s">
        <v>29</v>
      </c>
      <c r="AG22" s="25" t="s">
        <v>14</v>
      </c>
      <c r="AH22" s="25" t="s">
        <v>40</v>
      </c>
      <c r="AI22" s="25" t="s">
        <v>39</v>
      </c>
      <c r="AJ22" s="344" t="s">
        <v>41</v>
      </c>
      <c r="AK22" s="25"/>
      <c r="AL22" s="360" t="s">
        <v>35</v>
      </c>
      <c r="AM22" s="360" t="s">
        <v>31</v>
      </c>
      <c r="AN22" s="25" t="s">
        <v>33</v>
      </c>
      <c r="AO22" s="25" t="s">
        <v>14</v>
      </c>
      <c r="AP22" s="25" t="s">
        <v>32</v>
      </c>
      <c r="AQ22" s="25" t="s">
        <v>12</v>
      </c>
      <c r="AR22" s="25" t="s">
        <v>36</v>
      </c>
      <c r="AS22" s="344" t="s">
        <v>43</v>
      </c>
      <c r="AT22" s="358">
        <f t="shared" si="0"/>
        <v>6</v>
      </c>
      <c r="AU22" s="358">
        <f t="shared" si="1"/>
        <v>5</v>
      </c>
      <c r="AV22" s="358">
        <f t="shared" si="2"/>
        <v>5</v>
      </c>
      <c r="AW22" s="358">
        <f t="shared" si="3"/>
        <v>2</v>
      </c>
      <c r="AX22" s="358">
        <f t="shared" si="4"/>
        <v>2</v>
      </c>
      <c r="AY22" s="358">
        <f t="shared" si="5"/>
        <v>3</v>
      </c>
      <c r="AZ22" s="358">
        <f t="shared" si="6"/>
        <v>3</v>
      </c>
      <c r="BA22" s="358">
        <f t="shared" si="7"/>
        <v>3</v>
      </c>
      <c r="BB22" s="358">
        <f t="shared" si="8"/>
        <v>1</v>
      </c>
      <c r="BC22" s="358">
        <f t="shared" si="9"/>
        <v>1</v>
      </c>
      <c r="BD22" s="358">
        <f t="shared" si="10"/>
        <v>1</v>
      </c>
      <c r="BE22" s="358">
        <f t="shared" si="11"/>
        <v>1</v>
      </c>
      <c r="BF22" s="358">
        <f t="shared" si="12"/>
        <v>1</v>
      </c>
      <c r="BG22" s="358">
        <f t="shared" si="13"/>
        <v>1</v>
      </c>
      <c r="BH22" s="358">
        <f t="shared" si="14"/>
        <v>1</v>
      </c>
      <c r="BI22" s="358">
        <f t="shared" si="15"/>
        <v>0</v>
      </c>
    </row>
    <row r="23" s="7" customFormat="1" ht="47.1" customHeight="1" spans="1:61">
      <c r="A23" s="343" t="s">
        <v>71</v>
      </c>
      <c r="B23" s="25" t="s">
        <v>14</v>
      </c>
      <c r="C23" s="25" t="s">
        <v>32</v>
      </c>
      <c r="D23" s="360" t="s">
        <v>36</v>
      </c>
      <c r="E23" s="360" t="s">
        <v>30</v>
      </c>
      <c r="F23" s="25" t="s">
        <v>12</v>
      </c>
      <c r="G23" s="25" t="s">
        <v>33</v>
      </c>
      <c r="H23" s="25" t="s">
        <v>43</v>
      </c>
      <c r="I23" s="344" t="s">
        <v>34</v>
      </c>
      <c r="J23" s="37"/>
      <c r="K23" s="25" t="s">
        <v>29</v>
      </c>
      <c r="L23" s="25" t="s">
        <v>12</v>
      </c>
      <c r="M23" s="25" t="s">
        <v>12</v>
      </c>
      <c r="N23" s="25" t="s">
        <v>35</v>
      </c>
      <c r="O23" s="25" t="s">
        <v>14</v>
      </c>
      <c r="P23" s="25" t="s">
        <v>32</v>
      </c>
      <c r="Q23" s="25" t="s">
        <v>72</v>
      </c>
      <c r="R23" s="344" t="s">
        <v>37</v>
      </c>
      <c r="S23" s="12"/>
      <c r="T23" s="25" t="s">
        <v>29</v>
      </c>
      <c r="U23" s="25" t="s">
        <v>12</v>
      </c>
      <c r="V23" s="360" t="s">
        <v>30</v>
      </c>
      <c r="W23" s="25" t="s">
        <v>14</v>
      </c>
      <c r="X23" s="25" t="s">
        <v>26</v>
      </c>
      <c r="Y23" s="25" t="s">
        <v>32</v>
      </c>
      <c r="Z23" s="25" t="s">
        <v>33</v>
      </c>
      <c r="AA23" s="25" t="s">
        <v>39</v>
      </c>
      <c r="AB23" s="12"/>
      <c r="AC23" s="25" t="s">
        <v>32</v>
      </c>
      <c r="AD23" s="360" t="s">
        <v>14</v>
      </c>
      <c r="AE23" s="25" t="s">
        <v>38</v>
      </c>
      <c r="AF23" s="25" t="s">
        <v>12</v>
      </c>
      <c r="AG23" s="360" t="s">
        <v>40</v>
      </c>
      <c r="AH23" s="25" t="s">
        <v>36</v>
      </c>
      <c r="AI23" s="25" t="s">
        <v>30</v>
      </c>
      <c r="AJ23" s="344" t="s">
        <v>41</v>
      </c>
      <c r="AK23" s="12"/>
      <c r="AL23" s="25" t="s">
        <v>31</v>
      </c>
      <c r="AM23" s="360" t="s">
        <v>35</v>
      </c>
      <c r="AN23" s="360" t="s">
        <v>33</v>
      </c>
      <c r="AO23" s="360" t="s">
        <v>14</v>
      </c>
      <c r="AP23" s="360" t="s">
        <v>29</v>
      </c>
      <c r="AQ23" s="25" t="s">
        <v>32</v>
      </c>
      <c r="AR23" s="25" t="s">
        <v>72</v>
      </c>
      <c r="AS23" s="344" t="s">
        <v>12</v>
      </c>
      <c r="AT23" s="358">
        <f t="shared" si="0"/>
        <v>6</v>
      </c>
      <c r="AU23" s="358">
        <f t="shared" si="1"/>
        <v>5</v>
      </c>
      <c r="AV23" s="358">
        <f t="shared" si="2"/>
        <v>5</v>
      </c>
      <c r="AW23" s="358">
        <f t="shared" si="3"/>
        <v>2</v>
      </c>
      <c r="AX23" s="358">
        <f t="shared" si="4"/>
        <v>2</v>
      </c>
      <c r="AY23" s="358">
        <f t="shared" si="5"/>
        <v>3</v>
      </c>
      <c r="AZ23" s="358">
        <f t="shared" si="6"/>
        <v>3</v>
      </c>
      <c r="BA23" s="358">
        <f t="shared" si="7"/>
        <v>3</v>
      </c>
      <c r="BB23" s="358">
        <f t="shared" si="8"/>
        <v>1</v>
      </c>
      <c r="BC23" s="358">
        <f t="shared" si="9"/>
        <v>1</v>
      </c>
      <c r="BD23" s="358">
        <f t="shared" si="10"/>
        <v>1</v>
      </c>
      <c r="BE23" s="358">
        <f t="shared" si="11"/>
        <v>1</v>
      </c>
      <c r="BF23" s="358">
        <f t="shared" si="12"/>
        <v>1</v>
      </c>
      <c r="BG23" s="358">
        <f t="shared" si="13"/>
        <v>1</v>
      </c>
      <c r="BH23" s="358">
        <f t="shared" si="14"/>
        <v>1</v>
      </c>
      <c r="BI23" s="358">
        <f t="shared" si="15"/>
        <v>0</v>
      </c>
    </row>
    <row r="24" s="7" customFormat="1" ht="47.1" customHeight="1" spans="1:61">
      <c r="A24" s="343" t="s">
        <v>73</v>
      </c>
      <c r="B24" s="25" t="s">
        <v>32</v>
      </c>
      <c r="C24" s="360" t="s">
        <v>38</v>
      </c>
      <c r="D24" s="25" t="s">
        <v>14</v>
      </c>
      <c r="E24" s="25" t="s">
        <v>12</v>
      </c>
      <c r="F24" s="25" t="s">
        <v>29</v>
      </c>
      <c r="G24" s="25" t="s">
        <v>35</v>
      </c>
      <c r="H24" s="25" t="s">
        <v>33</v>
      </c>
      <c r="I24" s="344" t="s">
        <v>34</v>
      </c>
      <c r="J24" s="12"/>
      <c r="K24" s="360" t="s">
        <v>33</v>
      </c>
      <c r="L24" s="25" t="s">
        <v>72</v>
      </c>
      <c r="M24" s="25" t="s">
        <v>32</v>
      </c>
      <c r="N24" s="25" t="s">
        <v>14</v>
      </c>
      <c r="O24" s="25" t="s">
        <v>36</v>
      </c>
      <c r="P24" s="25" t="s">
        <v>12</v>
      </c>
      <c r="Q24" s="25" t="s">
        <v>12</v>
      </c>
      <c r="R24" s="344" t="s">
        <v>37</v>
      </c>
      <c r="S24" s="12"/>
      <c r="T24" s="25" t="s">
        <v>26</v>
      </c>
      <c r="U24" s="25" t="s">
        <v>14</v>
      </c>
      <c r="V24" s="25" t="s">
        <v>12</v>
      </c>
      <c r="W24" s="367" t="s">
        <v>43</v>
      </c>
      <c r="X24" s="25" t="s">
        <v>30</v>
      </c>
      <c r="Y24" s="360" t="s">
        <v>31</v>
      </c>
      <c r="Z24" s="25" t="s">
        <v>32</v>
      </c>
      <c r="AA24" s="360" t="s">
        <v>36</v>
      </c>
      <c r="AB24" s="12"/>
      <c r="AC24" s="25" t="s">
        <v>12</v>
      </c>
      <c r="AD24" s="360" t="s">
        <v>32</v>
      </c>
      <c r="AE24" s="360" t="s">
        <v>14</v>
      </c>
      <c r="AF24" s="360" t="s">
        <v>30</v>
      </c>
      <c r="AG24" s="360" t="s">
        <v>40</v>
      </c>
      <c r="AH24" s="360" t="s">
        <v>35</v>
      </c>
      <c r="AI24" s="25" t="s">
        <v>29</v>
      </c>
      <c r="AJ24" s="344" t="s">
        <v>41</v>
      </c>
      <c r="AK24" s="12"/>
      <c r="AL24" s="25" t="s">
        <v>32</v>
      </c>
      <c r="AM24" s="25" t="s">
        <v>72</v>
      </c>
      <c r="AN24" s="25" t="s">
        <v>29</v>
      </c>
      <c r="AO24" s="360" t="s">
        <v>39</v>
      </c>
      <c r="AP24" s="25" t="s">
        <v>14</v>
      </c>
      <c r="AQ24" s="25" t="s">
        <v>12</v>
      </c>
      <c r="AR24" s="25" t="s">
        <v>30</v>
      </c>
      <c r="AS24" s="344" t="s">
        <v>33</v>
      </c>
      <c r="AT24" s="358">
        <f t="shared" si="0"/>
        <v>6</v>
      </c>
      <c r="AU24" s="358">
        <f t="shared" si="1"/>
        <v>5</v>
      </c>
      <c r="AV24" s="358">
        <f t="shared" si="2"/>
        <v>5</v>
      </c>
      <c r="AW24" s="358">
        <f t="shared" si="3"/>
        <v>2</v>
      </c>
      <c r="AX24" s="358">
        <f t="shared" si="4"/>
        <v>2</v>
      </c>
      <c r="AY24" s="358">
        <f t="shared" si="5"/>
        <v>3</v>
      </c>
      <c r="AZ24" s="358">
        <f t="shared" si="6"/>
        <v>3</v>
      </c>
      <c r="BA24" s="358">
        <f t="shared" si="7"/>
        <v>3</v>
      </c>
      <c r="BB24" s="358">
        <f t="shared" si="8"/>
        <v>1</v>
      </c>
      <c r="BC24" s="358">
        <f t="shared" si="9"/>
        <v>1</v>
      </c>
      <c r="BD24" s="358">
        <f t="shared" si="10"/>
        <v>1</v>
      </c>
      <c r="BE24" s="358">
        <f t="shared" si="11"/>
        <v>1</v>
      </c>
      <c r="BF24" s="358">
        <f t="shared" si="12"/>
        <v>1</v>
      </c>
      <c r="BG24" s="358">
        <f t="shared" si="13"/>
        <v>1</v>
      </c>
      <c r="BH24" s="358">
        <f t="shared" si="14"/>
        <v>1</v>
      </c>
      <c r="BI24" s="358">
        <f t="shared" si="15"/>
        <v>0</v>
      </c>
    </row>
    <row r="25" s="7" customFormat="1" ht="47.1" customHeight="1" spans="1:61">
      <c r="A25" s="343" t="s">
        <v>74</v>
      </c>
      <c r="B25" s="25" t="s">
        <v>33</v>
      </c>
      <c r="C25" s="25" t="s">
        <v>14</v>
      </c>
      <c r="D25" s="25" t="s">
        <v>43</v>
      </c>
      <c r="E25" s="25" t="s">
        <v>12</v>
      </c>
      <c r="F25" s="25" t="s">
        <v>32</v>
      </c>
      <c r="G25" s="25" t="s">
        <v>38</v>
      </c>
      <c r="H25" s="25" t="s">
        <v>30</v>
      </c>
      <c r="I25" s="344" t="s">
        <v>34</v>
      </c>
      <c r="J25" s="37"/>
      <c r="K25" s="25" t="s">
        <v>32</v>
      </c>
      <c r="L25" s="25" t="s">
        <v>75</v>
      </c>
      <c r="M25" s="25" t="s">
        <v>29</v>
      </c>
      <c r="N25" s="25" t="s">
        <v>33</v>
      </c>
      <c r="O25" s="25" t="s">
        <v>14</v>
      </c>
      <c r="P25" s="25" t="s">
        <v>12</v>
      </c>
      <c r="Q25" s="25" t="s">
        <v>12</v>
      </c>
      <c r="R25" s="344" t="s">
        <v>37</v>
      </c>
      <c r="S25" s="12"/>
      <c r="T25" s="12" t="s">
        <v>39</v>
      </c>
      <c r="U25" s="25" t="s">
        <v>36</v>
      </c>
      <c r="V25" s="25" t="s">
        <v>12</v>
      </c>
      <c r="W25" s="25" t="s">
        <v>14</v>
      </c>
      <c r="X25" s="25" t="s">
        <v>26</v>
      </c>
      <c r="Y25" s="25" t="s">
        <v>35</v>
      </c>
      <c r="Z25" s="25" t="s">
        <v>32</v>
      </c>
      <c r="AA25" s="25" t="s">
        <v>30</v>
      </c>
      <c r="AB25" s="37"/>
      <c r="AC25" s="25" t="s">
        <v>29</v>
      </c>
      <c r="AD25" s="25" t="s">
        <v>12</v>
      </c>
      <c r="AE25" s="360" t="s">
        <v>14</v>
      </c>
      <c r="AF25" s="360" t="s">
        <v>33</v>
      </c>
      <c r="AG25" s="362" t="s">
        <v>36</v>
      </c>
      <c r="AH25" s="360" t="s">
        <v>32</v>
      </c>
      <c r="AI25" s="360" t="s">
        <v>75</v>
      </c>
      <c r="AJ25" s="344" t="s">
        <v>41</v>
      </c>
      <c r="AK25" s="37"/>
      <c r="AL25" s="25" t="s">
        <v>32</v>
      </c>
      <c r="AM25" s="25" t="s">
        <v>14</v>
      </c>
      <c r="AN25" s="25" t="s">
        <v>30</v>
      </c>
      <c r="AO25" s="25" t="s">
        <v>29</v>
      </c>
      <c r="AP25" s="25" t="s">
        <v>35</v>
      </c>
      <c r="AQ25" s="360" t="s">
        <v>40</v>
      </c>
      <c r="AR25" s="25" t="s">
        <v>31</v>
      </c>
      <c r="AS25" s="25" t="s">
        <v>12</v>
      </c>
      <c r="AT25" s="358">
        <f t="shared" si="0"/>
        <v>6</v>
      </c>
      <c r="AU25" s="358">
        <f t="shared" si="1"/>
        <v>5</v>
      </c>
      <c r="AV25" s="358">
        <f t="shared" si="2"/>
        <v>5</v>
      </c>
      <c r="AW25" s="358">
        <f t="shared" si="3"/>
        <v>2</v>
      </c>
      <c r="AX25" s="358">
        <f t="shared" si="4"/>
        <v>2</v>
      </c>
      <c r="AY25" s="358">
        <f t="shared" si="5"/>
        <v>3</v>
      </c>
      <c r="AZ25" s="358">
        <f t="shared" si="6"/>
        <v>3</v>
      </c>
      <c r="BA25" s="358">
        <f t="shared" si="7"/>
        <v>3</v>
      </c>
      <c r="BB25" s="358">
        <f t="shared" si="8"/>
        <v>1</v>
      </c>
      <c r="BC25" s="358">
        <f t="shared" si="9"/>
        <v>1</v>
      </c>
      <c r="BD25" s="358">
        <f t="shared" si="10"/>
        <v>1</v>
      </c>
      <c r="BE25" s="358">
        <f t="shared" si="11"/>
        <v>1</v>
      </c>
      <c r="BF25" s="358">
        <f t="shared" si="12"/>
        <v>1</v>
      </c>
      <c r="BG25" s="358">
        <f t="shared" si="13"/>
        <v>1</v>
      </c>
      <c r="BH25" s="358">
        <f t="shared" si="14"/>
        <v>1</v>
      </c>
      <c r="BI25" s="358">
        <f t="shared" si="15"/>
        <v>0</v>
      </c>
    </row>
    <row r="26" s="7" customFormat="1" ht="47.1" customHeight="1" spans="1:61">
      <c r="A26" s="343" t="s">
        <v>76</v>
      </c>
      <c r="B26" s="25" t="s">
        <v>14</v>
      </c>
      <c r="C26" s="25" t="s">
        <v>32</v>
      </c>
      <c r="D26" s="360" t="s">
        <v>30</v>
      </c>
      <c r="E26" s="360" t="s">
        <v>29</v>
      </c>
      <c r="F26" s="25" t="s">
        <v>31</v>
      </c>
      <c r="G26" s="25" t="s">
        <v>12</v>
      </c>
      <c r="H26" s="25" t="s">
        <v>39</v>
      </c>
      <c r="I26" s="344" t="s">
        <v>34</v>
      </c>
      <c r="J26" s="37"/>
      <c r="K26" s="25" t="s">
        <v>12</v>
      </c>
      <c r="L26" s="25" t="s">
        <v>12</v>
      </c>
      <c r="M26" s="25" t="s">
        <v>35</v>
      </c>
      <c r="N26" s="25" t="s">
        <v>14</v>
      </c>
      <c r="O26" s="25" t="s">
        <v>33</v>
      </c>
      <c r="P26" s="25" t="s">
        <v>32</v>
      </c>
      <c r="Q26" s="25" t="s">
        <v>75</v>
      </c>
      <c r="R26" s="344" t="s">
        <v>37</v>
      </c>
      <c r="S26" s="12"/>
      <c r="T26" s="25" t="s">
        <v>26</v>
      </c>
      <c r="U26" s="25" t="s">
        <v>14</v>
      </c>
      <c r="V26" s="360" t="s">
        <v>29</v>
      </c>
      <c r="W26" s="25" t="s">
        <v>12</v>
      </c>
      <c r="X26" s="12" t="s">
        <v>36</v>
      </c>
      <c r="Y26" s="25" t="s">
        <v>33</v>
      </c>
      <c r="Z26" s="360" t="s">
        <v>40</v>
      </c>
      <c r="AA26" s="25" t="s">
        <v>32</v>
      </c>
      <c r="AB26" s="12"/>
      <c r="AC26" s="25" t="s">
        <v>12</v>
      </c>
      <c r="AD26" s="360" t="s">
        <v>32</v>
      </c>
      <c r="AE26" s="360" t="s">
        <v>75</v>
      </c>
      <c r="AF26" s="25" t="s">
        <v>29</v>
      </c>
      <c r="AG26" s="360" t="s">
        <v>43</v>
      </c>
      <c r="AH26" s="360" t="s">
        <v>30</v>
      </c>
      <c r="AI26" s="360" t="s">
        <v>14</v>
      </c>
      <c r="AJ26" s="344" t="s">
        <v>41</v>
      </c>
      <c r="AK26" s="37"/>
      <c r="AL26" s="25" t="s">
        <v>33</v>
      </c>
      <c r="AM26" s="25" t="s">
        <v>38</v>
      </c>
      <c r="AN26" s="25" t="s">
        <v>32</v>
      </c>
      <c r="AO26" s="25" t="s">
        <v>35</v>
      </c>
      <c r="AP26" s="25" t="s">
        <v>14</v>
      </c>
      <c r="AQ26" s="25" t="s">
        <v>12</v>
      </c>
      <c r="AR26" s="25" t="s">
        <v>30</v>
      </c>
      <c r="AS26" s="25" t="s">
        <v>36</v>
      </c>
      <c r="AT26" s="358">
        <f t="shared" si="0"/>
        <v>6</v>
      </c>
      <c r="AU26" s="358">
        <f t="shared" si="1"/>
        <v>5</v>
      </c>
      <c r="AV26" s="358">
        <f t="shared" si="2"/>
        <v>5</v>
      </c>
      <c r="AW26" s="358">
        <f t="shared" si="3"/>
        <v>2</v>
      </c>
      <c r="AX26" s="358">
        <f t="shared" si="4"/>
        <v>2</v>
      </c>
      <c r="AY26" s="358">
        <f t="shared" si="5"/>
        <v>3</v>
      </c>
      <c r="AZ26" s="358">
        <f t="shared" si="6"/>
        <v>3</v>
      </c>
      <c r="BA26" s="358">
        <f t="shared" si="7"/>
        <v>3</v>
      </c>
      <c r="BB26" s="358">
        <f t="shared" si="8"/>
        <v>1</v>
      </c>
      <c r="BC26" s="358">
        <f t="shared" si="9"/>
        <v>1</v>
      </c>
      <c r="BD26" s="358">
        <f t="shared" si="10"/>
        <v>1</v>
      </c>
      <c r="BE26" s="358">
        <f t="shared" si="11"/>
        <v>1</v>
      </c>
      <c r="BF26" s="358">
        <f t="shared" si="12"/>
        <v>1</v>
      </c>
      <c r="BG26" s="358">
        <f t="shared" si="13"/>
        <v>1</v>
      </c>
      <c r="BH26" s="358">
        <f t="shared" si="14"/>
        <v>1</v>
      </c>
      <c r="BI26" s="358">
        <f t="shared" si="15"/>
        <v>0</v>
      </c>
    </row>
    <row r="27" s="7" customFormat="1" ht="47.1" customHeight="1" spans="1:61">
      <c r="A27" s="343" t="s">
        <v>77</v>
      </c>
      <c r="B27" s="25" t="s">
        <v>14</v>
      </c>
      <c r="C27" s="25" t="s">
        <v>29</v>
      </c>
      <c r="D27" s="25" t="s">
        <v>32</v>
      </c>
      <c r="E27" s="25" t="s">
        <v>12</v>
      </c>
      <c r="F27" s="25" t="s">
        <v>30</v>
      </c>
      <c r="G27" s="25" t="s">
        <v>33</v>
      </c>
      <c r="H27" s="25" t="s">
        <v>35</v>
      </c>
      <c r="I27" s="344" t="s">
        <v>34</v>
      </c>
      <c r="J27" s="12"/>
      <c r="K27" s="25" t="s">
        <v>32</v>
      </c>
      <c r="L27" s="25" t="s">
        <v>78</v>
      </c>
      <c r="M27" s="25" t="s">
        <v>14</v>
      </c>
      <c r="N27" s="25" t="s">
        <v>33</v>
      </c>
      <c r="O27" s="25" t="s">
        <v>29</v>
      </c>
      <c r="P27" s="25" t="s">
        <v>12</v>
      </c>
      <c r="Q27" s="25" t="s">
        <v>12</v>
      </c>
      <c r="R27" s="344" t="s">
        <v>37</v>
      </c>
      <c r="S27" s="12"/>
      <c r="T27" s="25" t="s">
        <v>36</v>
      </c>
      <c r="U27" s="25" t="s">
        <v>40</v>
      </c>
      <c r="V27" s="25" t="s">
        <v>12</v>
      </c>
      <c r="W27" s="25" t="s">
        <v>14</v>
      </c>
      <c r="X27" s="25" t="s">
        <v>26</v>
      </c>
      <c r="Y27" s="25" t="s">
        <v>32</v>
      </c>
      <c r="Z27" s="25" t="s">
        <v>38</v>
      </c>
      <c r="AA27" s="25" t="s">
        <v>35</v>
      </c>
      <c r="AB27" s="12"/>
      <c r="AC27" s="25" t="s">
        <v>29</v>
      </c>
      <c r="AD27" s="25" t="s">
        <v>14</v>
      </c>
      <c r="AE27" s="25" t="s">
        <v>43</v>
      </c>
      <c r="AF27" s="25" t="s">
        <v>12</v>
      </c>
      <c r="AG27" s="344" t="s">
        <v>31</v>
      </c>
      <c r="AH27" s="25" t="s">
        <v>32</v>
      </c>
      <c r="AI27" s="12" t="s">
        <v>30</v>
      </c>
      <c r="AJ27" s="344" t="s">
        <v>41</v>
      </c>
      <c r="AK27" s="12"/>
      <c r="AL27" s="25" t="s">
        <v>39</v>
      </c>
      <c r="AM27" s="25" t="s">
        <v>14</v>
      </c>
      <c r="AN27" s="25" t="s">
        <v>33</v>
      </c>
      <c r="AO27" s="25" t="s">
        <v>32</v>
      </c>
      <c r="AP27" s="25" t="s">
        <v>78</v>
      </c>
      <c r="AQ27" s="25" t="s">
        <v>36</v>
      </c>
      <c r="AR27" s="25" t="s">
        <v>12</v>
      </c>
      <c r="AS27" s="25" t="s">
        <v>30</v>
      </c>
      <c r="AT27" s="358">
        <f t="shared" si="0"/>
        <v>6</v>
      </c>
      <c r="AU27" s="358">
        <f t="shared" si="1"/>
        <v>5</v>
      </c>
      <c r="AV27" s="358">
        <f t="shared" si="2"/>
        <v>5</v>
      </c>
      <c r="AW27" s="358">
        <f t="shared" si="3"/>
        <v>2</v>
      </c>
      <c r="AX27" s="358">
        <f t="shared" si="4"/>
        <v>2</v>
      </c>
      <c r="AY27" s="358">
        <f t="shared" si="5"/>
        <v>3</v>
      </c>
      <c r="AZ27" s="358">
        <f t="shared" si="6"/>
        <v>3</v>
      </c>
      <c r="BA27" s="358">
        <f t="shared" si="7"/>
        <v>3</v>
      </c>
      <c r="BB27" s="358">
        <f t="shared" si="8"/>
        <v>1</v>
      </c>
      <c r="BC27" s="358">
        <f t="shared" si="9"/>
        <v>1</v>
      </c>
      <c r="BD27" s="358">
        <f t="shared" si="10"/>
        <v>1</v>
      </c>
      <c r="BE27" s="358">
        <f t="shared" si="11"/>
        <v>1</v>
      </c>
      <c r="BF27" s="358">
        <f t="shared" si="12"/>
        <v>1</v>
      </c>
      <c r="BG27" s="358">
        <f t="shared" si="13"/>
        <v>1</v>
      </c>
      <c r="BH27" s="358">
        <f t="shared" si="14"/>
        <v>1</v>
      </c>
      <c r="BI27" s="358">
        <f t="shared" si="15"/>
        <v>0</v>
      </c>
    </row>
    <row r="28" s="7" customFormat="1" ht="47.1" customHeight="1" spans="1:61">
      <c r="A28" s="343" t="s">
        <v>79</v>
      </c>
      <c r="B28" s="25" t="s">
        <v>35</v>
      </c>
      <c r="C28" s="25" t="s">
        <v>14</v>
      </c>
      <c r="D28" s="25" t="s">
        <v>33</v>
      </c>
      <c r="E28" s="25" t="s">
        <v>36</v>
      </c>
      <c r="F28" s="25" t="s">
        <v>12</v>
      </c>
      <c r="G28" s="25" t="s">
        <v>29</v>
      </c>
      <c r="H28" s="25" t="s">
        <v>32</v>
      </c>
      <c r="I28" s="344" t="s">
        <v>34</v>
      </c>
      <c r="J28" s="12"/>
      <c r="K28" s="25" t="s">
        <v>31</v>
      </c>
      <c r="L28" s="25" t="s">
        <v>12</v>
      </c>
      <c r="M28" s="25" t="s">
        <v>12</v>
      </c>
      <c r="N28" s="25" t="s">
        <v>32</v>
      </c>
      <c r="O28" s="25" t="s">
        <v>78</v>
      </c>
      <c r="P28" s="25" t="s">
        <v>30</v>
      </c>
      <c r="Q28" s="25" t="s">
        <v>14</v>
      </c>
      <c r="R28" s="344" t="s">
        <v>37</v>
      </c>
      <c r="S28" s="12"/>
      <c r="T28" s="25" t="s">
        <v>14</v>
      </c>
      <c r="U28" s="25" t="s">
        <v>26</v>
      </c>
      <c r="V28" s="360" t="s">
        <v>43</v>
      </c>
      <c r="W28" s="25" t="s">
        <v>29</v>
      </c>
      <c r="X28" s="25" t="s">
        <v>12</v>
      </c>
      <c r="Y28" s="12" t="s">
        <v>33</v>
      </c>
      <c r="Z28" s="25" t="s">
        <v>35</v>
      </c>
      <c r="AA28" s="25" t="s">
        <v>32</v>
      </c>
      <c r="AB28" s="12"/>
      <c r="AC28" s="25" t="s">
        <v>12</v>
      </c>
      <c r="AD28" s="25" t="s">
        <v>30</v>
      </c>
      <c r="AE28" s="25" t="s">
        <v>36</v>
      </c>
      <c r="AF28" s="25" t="s">
        <v>14</v>
      </c>
      <c r="AG28" s="362" t="s">
        <v>39</v>
      </c>
      <c r="AH28" s="25" t="s">
        <v>33</v>
      </c>
      <c r="AI28" s="25" t="s">
        <v>32</v>
      </c>
      <c r="AJ28" s="344" t="s">
        <v>41</v>
      </c>
      <c r="AK28" s="346"/>
      <c r="AL28" s="25" t="s">
        <v>32</v>
      </c>
      <c r="AM28" s="25" t="s">
        <v>78</v>
      </c>
      <c r="AN28" s="25" t="s">
        <v>14</v>
      </c>
      <c r="AO28" s="25" t="s">
        <v>30</v>
      </c>
      <c r="AP28" s="25" t="s">
        <v>38</v>
      </c>
      <c r="AQ28" s="38" t="s">
        <v>12</v>
      </c>
      <c r="AR28" s="25" t="s">
        <v>29</v>
      </c>
      <c r="AS28" s="25" t="s">
        <v>40</v>
      </c>
      <c r="AT28" s="358">
        <f t="shared" si="0"/>
        <v>6</v>
      </c>
      <c r="AU28" s="358">
        <f t="shared" si="1"/>
        <v>5</v>
      </c>
      <c r="AV28" s="358">
        <f t="shared" si="2"/>
        <v>5</v>
      </c>
      <c r="AW28" s="358">
        <f t="shared" si="3"/>
        <v>2</v>
      </c>
      <c r="AX28" s="358">
        <f t="shared" si="4"/>
        <v>2</v>
      </c>
      <c r="AY28" s="358">
        <f t="shared" si="5"/>
        <v>3</v>
      </c>
      <c r="AZ28" s="358">
        <f t="shared" si="6"/>
        <v>3</v>
      </c>
      <c r="BA28" s="358">
        <f t="shared" si="7"/>
        <v>3</v>
      </c>
      <c r="BB28" s="358">
        <f t="shared" si="8"/>
        <v>1</v>
      </c>
      <c r="BC28" s="358">
        <f t="shared" si="9"/>
        <v>1</v>
      </c>
      <c r="BD28" s="358">
        <f t="shared" si="10"/>
        <v>1</v>
      </c>
      <c r="BE28" s="358">
        <f t="shared" si="11"/>
        <v>1</v>
      </c>
      <c r="BF28" s="358">
        <f t="shared" si="12"/>
        <v>1</v>
      </c>
      <c r="BG28" s="358">
        <f t="shared" si="13"/>
        <v>1</v>
      </c>
      <c r="BH28" s="358">
        <f t="shared" si="14"/>
        <v>1</v>
      </c>
      <c r="BI28" s="358">
        <f t="shared" si="15"/>
        <v>0</v>
      </c>
    </row>
    <row r="29" s="7" customFormat="1" ht="47.1" customHeight="1" spans="1:61">
      <c r="A29" s="343" t="s">
        <v>80</v>
      </c>
      <c r="B29" s="25" t="s">
        <v>33</v>
      </c>
      <c r="C29" s="25" t="s">
        <v>12</v>
      </c>
      <c r="D29" s="25" t="s">
        <v>38</v>
      </c>
      <c r="E29" s="25" t="s">
        <v>14</v>
      </c>
      <c r="F29" s="25" t="s">
        <v>36</v>
      </c>
      <c r="G29" s="25" t="s">
        <v>43</v>
      </c>
      <c r="H29" s="25" t="s">
        <v>32</v>
      </c>
      <c r="I29" s="344" t="s">
        <v>34</v>
      </c>
      <c r="J29" s="37"/>
      <c r="K29" s="25" t="s">
        <v>12</v>
      </c>
      <c r="L29" s="25" t="s">
        <v>12</v>
      </c>
      <c r="M29" s="25" t="s">
        <v>29</v>
      </c>
      <c r="N29" s="25" t="s">
        <v>32</v>
      </c>
      <c r="O29" s="25" t="s">
        <v>81</v>
      </c>
      <c r="P29" s="25" t="s">
        <v>14</v>
      </c>
      <c r="Q29" s="25" t="s">
        <v>35</v>
      </c>
      <c r="R29" s="344" t="s">
        <v>37</v>
      </c>
      <c r="S29" s="12"/>
      <c r="T29" s="25" t="s">
        <v>14</v>
      </c>
      <c r="U29" s="25" t="s">
        <v>26</v>
      </c>
      <c r="V29" s="25" t="s">
        <v>12</v>
      </c>
      <c r="W29" s="25" t="s">
        <v>39</v>
      </c>
      <c r="X29" s="25" t="s">
        <v>30</v>
      </c>
      <c r="Y29" s="25" t="s">
        <v>32</v>
      </c>
      <c r="Z29" s="25" t="s">
        <v>36</v>
      </c>
      <c r="AA29" s="25" t="s">
        <v>33</v>
      </c>
      <c r="AB29" s="37"/>
      <c r="AC29" s="25" t="s">
        <v>35</v>
      </c>
      <c r="AD29" s="25" t="s">
        <v>32</v>
      </c>
      <c r="AE29" s="360" t="s">
        <v>14</v>
      </c>
      <c r="AF29" s="25" t="s">
        <v>12</v>
      </c>
      <c r="AG29" s="360" t="s">
        <v>30</v>
      </c>
      <c r="AH29" s="25" t="s">
        <v>40</v>
      </c>
      <c r="AI29" s="12" t="s">
        <v>29</v>
      </c>
      <c r="AJ29" s="344" t="s">
        <v>41</v>
      </c>
      <c r="AK29" s="37"/>
      <c r="AL29" s="25" t="s">
        <v>33</v>
      </c>
      <c r="AM29" s="360" t="s">
        <v>14</v>
      </c>
      <c r="AN29" s="360" t="s">
        <v>31</v>
      </c>
      <c r="AO29" s="25" t="s">
        <v>32</v>
      </c>
      <c r="AP29" s="25" t="s">
        <v>81</v>
      </c>
      <c r="AQ29" s="25" t="s">
        <v>30</v>
      </c>
      <c r="AR29" s="25" t="s">
        <v>12</v>
      </c>
      <c r="AS29" s="25" t="s">
        <v>29</v>
      </c>
      <c r="AT29" s="358">
        <f t="shared" si="0"/>
        <v>6</v>
      </c>
      <c r="AU29" s="358">
        <f t="shared" si="1"/>
        <v>5</v>
      </c>
      <c r="AV29" s="358">
        <f t="shared" si="2"/>
        <v>5</v>
      </c>
      <c r="AW29" s="358">
        <f t="shared" si="3"/>
        <v>2</v>
      </c>
      <c r="AX29" s="358">
        <f t="shared" si="4"/>
        <v>2</v>
      </c>
      <c r="AY29" s="358">
        <f t="shared" si="5"/>
        <v>3</v>
      </c>
      <c r="AZ29" s="358">
        <f t="shared" si="6"/>
        <v>3</v>
      </c>
      <c r="BA29" s="358">
        <f t="shared" si="7"/>
        <v>3</v>
      </c>
      <c r="BB29" s="358">
        <f t="shared" si="8"/>
        <v>1</v>
      </c>
      <c r="BC29" s="358">
        <f t="shared" si="9"/>
        <v>1</v>
      </c>
      <c r="BD29" s="358">
        <f t="shared" si="10"/>
        <v>1</v>
      </c>
      <c r="BE29" s="358">
        <f t="shared" si="11"/>
        <v>1</v>
      </c>
      <c r="BF29" s="358">
        <f t="shared" si="12"/>
        <v>1</v>
      </c>
      <c r="BG29" s="358">
        <f t="shared" si="13"/>
        <v>1</v>
      </c>
      <c r="BH29" s="358">
        <f t="shared" si="14"/>
        <v>1</v>
      </c>
      <c r="BI29" s="358">
        <f t="shared" si="15"/>
        <v>0</v>
      </c>
    </row>
    <row r="30" s="7" customFormat="1" ht="47.1" customHeight="1" spans="1:61">
      <c r="A30" s="347" t="s">
        <v>82</v>
      </c>
      <c r="B30" s="38" t="s">
        <v>32</v>
      </c>
      <c r="C30" s="38" t="s">
        <v>39</v>
      </c>
      <c r="D30" s="38" t="s">
        <v>35</v>
      </c>
      <c r="E30" s="38" t="s">
        <v>30</v>
      </c>
      <c r="F30" s="38" t="s">
        <v>14</v>
      </c>
      <c r="G30" s="38" t="s">
        <v>12</v>
      </c>
      <c r="H30" s="38" t="s">
        <v>29</v>
      </c>
      <c r="I30" s="58" t="s">
        <v>34</v>
      </c>
      <c r="J30" s="42"/>
      <c r="K30" s="38" t="s">
        <v>32</v>
      </c>
      <c r="L30" s="38" t="s">
        <v>81</v>
      </c>
      <c r="M30" s="42" t="s">
        <v>14</v>
      </c>
      <c r="N30" s="38" t="s">
        <v>12</v>
      </c>
      <c r="O30" s="38" t="s">
        <v>12</v>
      </c>
      <c r="P30" s="38" t="s">
        <v>33</v>
      </c>
      <c r="Q30" s="38" t="s">
        <v>31</v>
      </c>
      <c r="R30" s="58" t="s">
        <v>37</v>
      </c>
      <c r="S30" s="42"/>
      <c r="T30" s="38" t="s">
        <v>29</v>
      </c>
      <c r="U30" s="38" t="s">
        <v>12</v>
      </c>
      <c r="V30" s="38" t="s">
        <v>36</v>
      </c>
      <c r="W30" s="38" t="s">
        <v>14</v>
      </c>
      <c r="X30" s="38" t="s">
        <v>26</v>
      </c>
      <c r="Y30" s="38" t="s">
        <v>38</v>
      </c>
      <c r="Z30" s="38" t="s">
        <v>30</v>
      </c>
      <c r="AA30" s="38" t="s">
        <v>32</v>
      </c>
      <c r="AB30" s="37"/>
      <c r="AC30" s="38" t="s">
        <v>12</v>
      </c>
      <c r="AD30" s="38" t="s">
        <v>33</v>
      </c>
      <c r="AE30" s="38" t="s">
        <v>32</v>
      </c>
      <c r="AF30" s="38" t="s">
        <v>14</v>
      </c>
      <c r="AG30" s="370" t="s">
        <v>40</v>
      </c>
      <c r="AH30" s="360" t="s">
        <v>35</v>
      </c>
      <c r="AI30" s="38" t="s">
        <v>43</v>
      </c>
      <c r="AJ30" s="58" t="s">
        <v>41</v>
      </c>
      <c r="AK30" s="42"/>
      <c r="AL30" s="38" t="s">
        <v>32</v>
      </c>
      <c r="AM30" s="38" t="s">
        <v>81</v>
      </c>
      <c r="AN30" s="370" t="s">
        <v>29</v>
      </c>
      <c r="AO30" s="370" t="s">
        <v>14</v>
      </c>
      <c r="AP30" s="360" t="s">
        <v>30</v>
      </c>
      <c r="AQ30" s="38" t="s">
        <v>12</v>
      </c>
      <c r="AR30" s="370" t="s">
        <v>33</v>
      </c>
      <c r="AS30" s="38" t="s">
        <v>36</v>
      </c>
      <c r="AT30" s="358">
        <f t="shared" si="0"/>
        <v>6</v>
      </c>
      <c r="AU30" s="358">
        <f t="shared" si="1"/>
        <v>5</v>
      </c>
      <c r="AV30" s="358">
        <f t="shared" si="2"/>
        <v>5</v>
      </c>
      <c r="AW30" s="358">
        <f t="shared" si="3"/>
        <v>2</v>
      </c>
      <c r="AX30" s="358">
        <f t="shared" si="4"/>
        <v>2</v>
      </c>
      <c r="AY30" s="358">
        <f t="shared" si="5"/>
        <v>3</v>
      </c>
      <c r="AZ30" s="358">
        <f t="shared" si="6"/>
        <v>3</v>
      </c>
      <c r="BA30" s="358">
        <f t="shared" si="7"/>
        <v>3</v>
      </c>
      <c r="BB30" s="358">
        <f t="shared" si="8"/>
        <v>1</v>
      </c>
      <c r="BC30" s="358">
        <f t="shared" si="9"/>
        <v>1</v>
      </c>
      <c r="BD30" s="358">
        <f t="shared" si="10"/>
        <v>1</v>
      </c>
      <c r="BE30" s="358">
        <f t="shared" si="11"/>
        <v>1</v>
      </c>
      <c r="BF30" s="358">
        <f t="shared" si="12"/>
        <v>1</v>
      </c>
      <c r="BG30" s="358">
        <f t="shared" si="13"/>
        <v>1</v>
      </c>
      <c r="BH30" s="358">
        <f t="shared" si="14"/>
        <v>1</v>
      </c>
      <c r="BI30" s="358">
        <f t="shared" si="15"/>
        <v>0</v>
      </c>
    </row>
    <row r="31" s="8" customFormat="1" ht="98.1" customHeight="1" spans="1:61">
      <c r="A31" s="349"/>
      <c r="B31" s="350"/>
      <c r="C31" s="350"/>
      <c r="D31" s="350"/>
      <c r="E31" s="351" t="s">
        <v>83</v>
      </c>
      <c r="F31" s="351"/>
      <c r="G31" s="352"/>
      <c r="H31" s="352"/>
      <c r="I31" s="352"/>
      <c r="J31" s="352"/>
      <c r="K31" s="351" t="s">
        <v>84</v>
      </c>
      <c r="L31" s="351"/>
      <c r="M31" s="351"/>
      <c r="N31" s="351"/>
      <c r="O31" s="351"/>
      <c r="P31" s="352"/>
      <c r="Q31" s="352"/>
      <c r="R31" s="352"/>
      <c r="S31" s="352"/>
      <c r="T31" s="351" t="s">
        <v>85</v>
      </c>
      <c r="U31" s="351"/>
      <c r="V31" s="351"/>
      <c r="W31" s="351"/>
      <c r="X31" s="351"/>
      <c r="Y31" s="351" t="s">
        <v>86</v>
      </c>
      <c r="Z31" s="351"/>
      <c r="AA31" s="351"/>
      <c r="AB31" s="351"/>
      <c r="AC31" s="351" t="s">
        <v>87</v>
      </c>
      <c r="AD31" s="351"/>
      <c r="AE31" s="351"/>
      <c r="AF31" s="351"/>
      <c r="AG31" s="351"/>
      <c r="AH31" s="351"/>
      <c r="AI31" s="351"/>
      <c r="AJ31" s="351"/>
      <c r="AK31" s="351"/>
      <c r="AL31" s="351" t="s">
        <v>88</v>
      </c>
      <c r="AM31" s="351"/>
      <c r="AN31" s="351"/>
      <c r="AO31" s="351" t="s">
        <v>89</v>
      </c>
      <c r="AP31" s="351"/>
      <c r="AQ31" s="353"/>
      <c r="AR31" s="353"/>
      <c r="AS31" s="354"/>
      <c r="AT31" s="359"/>
      <c r="AU31" s="359"/>
      <c r="AV31" s="359"/>
      <c r="AW31" s="359"/>
      <c r="AX31" s="359"/>
      <c r="AY31" s="359"/>
      <c r="AZ31" s="359"/>
      <c r="BA31" s="359"/>
      <c r="BB31" s="359"/>
      <c r="BC31" s="359"/>
      <c r="BD31" s="359"/>
      <c r="BE31" s="359"/>
      <c r="BF31" s="359"/>
      <c r="BG31" s="359"/>
      <c r="BH31" s="359"/>
      <c r="BI31" s="359"/>
    </row>
  </sheetData>
  <mergeCells count="23">
    <mergeCell ref="A1:AS1"/>
    <mergeCell ref="B2:J2"/>
    <mergeCell ref="K2:S2"/>
    <mergeCell ref="T2:AB2"/>
    <mergeCell ref="AC2:AK2"/>
    <mergeCell ref="AL2:AS2"/>
    <mergeCell ref="B3:F3"/>
    <mergeCell ref="G3:J3"/>
    <mergeCell ref="K3:O3"/>
    <mergeCell ref="P3:S3"/>
    <mergeCell ref="T3:X3"/>
    <mergeCell ref="Y3:AB3"/>
    <mergeCell ref="AC3:AG3"/>
    <mergeCell ref="AH3:AK3"/>
    <mergeCell ref="AL3:AP3"/>
    <mergeCell ref="AQ3:AS3"/>
    <mergeCell ref="E31:F31"/>
    <mergeCell ref="K31:O31"/>
    <mergeCell ref="T31:X31"/>
    <mergeCell ref="Y31:AA31"/>
    <mergeCell ref="AC31:AG31"/>
    <mergeCell ref="AL31:AN31"/>
    <mergeCell ref="AO31:AP31"/>
  </mergeCells>
  <conditionalFormatting sqref="BJ5:XFD14">
    <cfRule type="cellIs" dxfId="0" priority="6" operator="equal">
      <formula>"信"</formula>
    </cfRule>
  </conditionalFormatting>
  <pageMargins left="0.75" right="0.75" top="1" bottom="1" header="0.5" footer="0.5"/>
  <pageSetup paperSize="9" scale="4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31"/>
  <sheetViews>
    <sheetView zoomScale="70" zoomScaleNormal="70" workbookViewId="0">
      <pane ySplit="4" topLeftCell="A31" activePane="bottomLeft" state="frozen"/>
      <selection/>
      <selection pane="bottomLeft" activeCell="BK19" sqref="BK19"/>
    </sheetView>
  </sheetViews>
  <sheetFormatPr defaultColWidth="9" defaultRowHeight="12"/>
  <cols>
    <col min="1" max="1" width="11.875" style="10" customWidth="1"/>
    <col min="2" max="45" width="5" style="10" customWidth="1"/>
    <col min="46" max="56" width="9" style="355" customWidth="1"/>
    <col min="57" max="61" width="9" style="355"/>
    <col min="62" max="16384" width="9" style="10"/>
  </cols>
  <sheetData>
    <row r="1" ht="38.1" customHeight="1" spans="1:61">
      <c r="A1" s="158" t="s">
        <v>91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322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356"/>
      <c r="AU1" s="356"/>
      <c r="AV1" s="356"/>
      <c r="AW1" s="356"/>
      <c r="AX1" s="356"/>
      <c r="AY1" s="356"/>
      <c r="AZ1" s="356"/>
      <c r="BA1" s="356"/>
      <c r="BB1" s="356"/>
      <c r="BC1" s="356"/>
      <c r="BD1" s="356"/>
      <c r="BE1" s="356"/>
      <c r="BF1" s="356"/>
      <c r="BG1" s="356"/>
      <c r="BH1" s="356"/>
      <c r="BI1" s="356"/>
    </row>
    <row r="2" s="2" customFormat="1" ht="21.95" customHeight="1" spans="1:61">
      <c r="A2" s="323" t="s">
        <v>1</v>
      </c>
      <c r="B2" s="160" t="s">
        <v>2</v>
      </c>
      <c r="C2" s="161"/>
      <c r="D2" s="161"/>
      <c r="E2" s="161"/>
      <c r="F2" s="161"/>
      <c r="G2" s="161"/>
      <c r="H2" s="161"/>
      <c r="I2" s="161"/>
      <c r="J2" s="163"/>
      <c r="K2" s="160" t="s">
        <v>3</v>
      </c>
      <c r="L2" s="161"/>
      <c r="M2" s="161"/>
      <c r="N2" s="161"/>
      <c r="O2" s="161"/>
      <c r="P2" s="161"/>
      <c r="Q2" s="161"/>
      <c r="R2" s="324"/>
      <c r="S2" s="163"/>
      <c r="T2" s="160" t="s">
        <v>4</v>
      </c>
      <c r="U2" s="161"/>
      <c r="V2" s="161"/>
      <c r="W2" s="161"/>
      <c r="X2" s="161"/>
      <c r="Y2" s="161"/>
      <c r="Z2" s="161"/>
      <c r="AA2" s="161"/>
      <c r="AB2" s="163"/>
      <c r="AC2" s="164" t="s">
        <v>5</v>
      </c>
      <c r="AD2" s="165"/>
      <c r="AE2" s="165"/>
      <c r="AF2" s="165"/>
      <c r="AG2" s="165"/>
      <c r="AH2" s="165"/>
      <c r="AI2" s="165"/>
      <c r="AJ2" s="165"/>
      <c r="AK2" s="166"/>
      <c r="AL2" s="325" t="s">
        <v>6</v>
      </c>
      <c r="AM2" s="165"/>
      <c r="AN2" s="165"/>
      <c r="AO2" s="165"/>
      <c r="AP2" s="165"/>
      <c r="AQ2" s="165"/>
      <c r="AR2" s="165"/>
      <c r="AS2" s="166"/>
      <c r="AT2" s="357"/>
      <c r="AU2" s="357"/>
      <c r="AV2" s="357"/>
      <c r="AW2" s="357"/>
      <c r="AX2" s="357"/>
      <c r="AY2" s="357"/>
      <c r="AZ2" s="357"/>
      <c r="BA2" s="357"/>
      <c r="BB2" s="357"/>
      <c r="BC2" s="357"/>
      <c r="BD2" s="357"/>
      <c r="BE2" s="357"/>
      <c r="BF2" s="357"/>
      <c r="BG2" s="357"/>
      <c r="BH2" s="357"/>
      <c r="BI2" s="357"/>
    </row>
    <row r="3" s="2" customFormat="1" ht="21.95" customHeight="1" spans="1:61">
      <c r="A3" s="326" t="s">
        <v>7</v>
      </c>
      <c r="B3" s="327" t="s">
        <v>8</v>
      </c>
      <c r="C3" s="328"/>
      <c r="D3" s="328"/>
      <c r="E3" s="328"/>
      <c r="F3" s="328"/>
      <c r="G3" s="328" t="s">
        <v>9</v>
      </c>
      <c r="H3" s="328"/>
      <c r="I3" s="328"/>
      <c r="J3" s="329"/>
      <c r="K3" s="327" t="s">
        <v>8</v>
      </c>
      <c r="L3" s="328"/>
      <c r="M3" s="328"/>
      <c r="N3" s="328"/>
      <c r="O3" s="328"/>
      <c r="P3" s="328" t="s">
        <v>9</v>
      </c>
      <c r="Q3" s="328"/>
      <c r="R3" s="330"/>
      <c r="S3" s="329"/>
      <c r="T3" s="327" t="s">
        <v>8</v>
      </c>
      <c r="U3" s="328"/>
      <c r="V3" s="328"/>
      <c r="W3" s="328"/>
      <c r="X3" s="328"/>
      <c r="Y3" s="328" t="s">
        <v>9</v>
      </c>
      <c r="Z3" s="328"/>
      <c r="AA3" s="328"/>
      <c r="AB3" s="329"/>
      <c r="AC3" s="327" t="s">
        <v>8</v>
      </c>
      <c r="AD3" s="328"/>
      <c r="AE3" s="328"/>
      <c r="AF3" s="328"/>
      <c r="AG3" s="328"/>
      <c r="AH3" s="328" t="s">
        <v>9</v>
      </c>
      <c r="AI3" s="328"/>
      <c r="AJ3" s="328"/>
      <c r="AK3" s="329"/>
      <c r="AL3" s="331" t="s">
        <v>8</v>
      </c>
      <c r="AM3" s="328"/>
      <c r="AN3" s="328"/>
      <c r="AO3" s="328"/>
      <c r="AP3" s="328"/>
      <c r="AQ3" s="328" t="s">
        <v>9</v>
      </c>
      <c r="AR3" s="328"/>
      <c r="AS3" s="329"/>
      <c r="AT3" s="100">
        <v>6</v>
      </c>
      <c r="AU3" s="100">
        <v>5</v>
      </c>
      <c r="AV3" s="100">
        <v>5</v>
      </c>
      <c r="AW3" s="100">
        <v>2</v>
      </c>
      <c r="AX3" s="100">
        <v>2</v>
      </c>
      <c r="AY3" s="100">
        <v>3</v>
      </c>
      <c r="AZ3" s="100">
        <v>3</v>
      </c>
      <c r="BA3" s="100">
        <v>3</v>
      </c>
      <c r="BB3" s="100">
        <v>1</v>
      </c>
      <c r="BC3" s="100">
        <v>1</v>
      </c>
      <c r="BD3" s="100">
        <v>1</v>
      </c>
      <c r="BE3" s="100">
        <v>0.5</v>
      </c>
      <c r="BF3" s="100">
        <v>1</v>
      </c>
      <c r="BG3" s="100">
        <v>1</v>
      </c>
      <c r="BH3" s="100">
        <v>1</v>
      </c>
      <c r="BI3" s="100">
        <v>2</v>
      </c>
    </row>
    <row r="4" s="26" customFormat="1" ht="47.1" customHeight="1" spans="1:61">
      <c r="A4" s="332" t="s">
        <v>10</v>
      </c>
      <c r="B4" s="333">
        <v>1</v>
      </c>
      <c r="C4" s="334">
        <v>2</v>
      </c>
      <c r="D4" s="334">
        <v>3</v>
      </c>
      <c r="E4" s="334">
        <v>4</v>
      </c>
      <c r="F4" s="334">
        <v>5</v>
      </c>
      <c r="G4" s="334">
        <v>6</v>
      </c>
      <c r="H4" s="334">
        <v>7</v>
      </c>
      <c r="I4" s="334">
        <v>8</v>
      </c>
      <c r="J4" s="335" t="s">
        <v>11</v>
      </c>
      <c r="K4" s="333">
        <v>1</v>
      </c>
      <c r="L4" s="334">
        <v>2</v>
      </c>
      <c r="M4" s="334">
        <v>3</v>
      </c>
      <c r="N4" s="334">
        <v>4</v>
      </c>
      <c r="O4" s="334">
        <v>5</v>
      </c>
      <c r="P4" s="334">
        <v>6</v>
      </c>
      <c r="Q4" s="334">
        <v>7</v>
      </c>
      <c r="R4" s="336">
        <v>8</v>
      </c>
      <c r="S4" s="335" t="s">
        <v>11</v>
      </c>
      <c r="T4" s="333">
        <v>1</v>
      </c>
      <c r="U4" s="334">
        <v>2</v>
      </c>
      <c r="V4" s="334">
        <v>3</v>
      </c>
      <c r="W4" s="334">
        <v>4</v>
      </c>
      <c r="X4" s="334">
        <v>5</v>
      </c>
      <c r="Y4" s="334">
        <v>6</v>
      </c>
      <c r="Z4" s="334">
        <v>7</v>
      </c>
      <c r="AA4" s="334">
        <v>8</v>
      </c>
      <c r="AB4" s="335" t="s">
        <v>11</v>
      </c>
      <c r="AC4" s="333">
        <v>1</v>
      </c>
      <c r="AD4" s="334">
        <v>2</v>
      </c>
      <c r="AE4" s="334">
        <v>3</v>
      </c>
      <c r="AF4" s="334">
        <v>4</v>
      </c>
      <c r="AG4" s="334">
        <v>5</v>
      </c>
      <c r="AH4" s="334">
        <v>6</v>
      </c>
      <c r="AI4" s="334">
        <v>7</v>
      </c>
      <c r="AJ4" s="334">
        <v>8</v>
      </c>
      <c r="AK4" s="335" t="s">
        <v>11</v>
      </c>
      <c r="AL4" s="337">
        <v>1</v>
      </c>
      <c r="AM4" s="334">
        <v>2</v>
      </c>
      <c r="AN4" s="334">
        <v>3</v>
      </c>
      <c r="AO4" s="334">
        <v>4</v>
      </c>
      <c r="AP4" s="334">
        <v>5</v>
      </c>
      <c r="AQ4" s="334">
        <v>6</v>
      </c>
      <c r="AR4" s="334">
        <v>7</v>
      </c>
      <c r="AS4" s="338">
        <v>8</v>
      </c>
      <c r="AT4" s="122" t="s">
        <v>12</v>
      </c>
      <c r="AU4" s="122" t="s">
        <v>13</v>
      </c>
      <c r="AV4" s="122" t="s">
        <v>14</v>
      </c>
      <c r="AW4" s="122" t="s">
        <v>15</v>
      </c>
      <c r="AX4" s="122" t="s">
        <v>16</v>
      </c>
      <c r="AY4" s="122" t="s">
        <v>17</v>
      </c>
      <c r="AZ4" s="122" t="s">
        <v>18</v>
      </c>
      <c r="BA4" s="122" t="s">
        <v>19</v>
      </c>
      <c r="BB4" s="122" t="s">
        <v>20</v>
      </c>
      <c r="BC4" s="122" t="s">
        <v>21</v>
      </c>
      <c r="BD4" s="122" t="s">
        <v>22</v>
      </c>
      <c r="BE4" s="122" t="s">
        <v>23</v>
      </c>
      <c r="BF4" s="122" t="s">
        <v>24</v>
      </c>
      <c r="BG4" s="122" t="s">
        <v>25</v>
      </c>
      <c r="BH4" s="122" t="s">
        <v>26</v>
      </c>
      <c r="BI4" s="122" t="s">
        <v>27</v>
      </c>
    </row>
    <row r="5" s="26" customFormat="1" ht="47.1" customHeight="1" spans="1:61">
      <c r="A5" s="339" t="s">
        <v>28</v>
      </c>
      <c r="B5" s="24" t="s">
        <v>29</v>
      </c>
      <c r="C5" s="24" t="s">
        <v>30</v>
      </c>
      <c r="D5" s="24" t="s">
        <v>12</v>
      </c>
      <c r="E5" s="24" t="s">
        <v>14</v>
      </c>
      <c r="F5" s="24" t="s">
        <v>31</v>
      </c>
      <c r="G5" s="24" t="s">
        <v>32</v>
      </c>
      <c r="H5" s="24" t="s">
        <v>33</v>
      </c>
      <c r="I5" s="361" t="s">
        <v>39</v>
      </c>
      <c r="J5" s="340" t="s">
        <v>34</v>
      </c>
      <c r="K5" s="24" t="s">
        <v>35</v>
      </c>
      <c r="L5" s="24" t="s">
        <v>14</v>
      </c>
      <c r="M5" s="24" t="s">
        <v>12</v>
      </c>
      <c r="N5" s="24" t="s">
        <v>12</v>
      </c>
      <c r="O5" s="340" t="s">
        <v>36</v>
      </c>
      <c r="P5" s="24" t="s">
        <v>32</v>
      </c>
      <c r="Q5" s="24" t="s">
        <v>30</v>
      </c>
      <c r="R5" s="340" t="s">
        <v>37</v>
      </c>
      <c r="S5" s="37"/>
      <c r="T5" s="24" t="s">
        <v>33</v>
      </c>
      <c r="U5" s="364" t="s">
        <v>30</v>
      </c>
      <c r="V5" s="24" t="s">
        <v>12</v>
      </c>
      <c r="W5" s="24" t="s">
        <v>14</v>
      </c>
      <c r="X5" s="24" t="s">
        <v>26</v>
      </c>
      <c r="Y5" s="24" t="s">
        <v>32</v>
      </c>
      <c r="Z5" s="364" t="s">
        <v>42</v>
      </c>
      <c r="AA5" s="24" t="s">
        <v>38</v>
      </c>
      <c r="AB5" s="37"/>
      <c r="AC5" s="24" t="s">
        <v>35</v>
      </c>
      <c r="AD5" s="25" t="s">
        <v>14</v>
      </c>
      <c r="AE5" s="364" t="s">
        <v>29</v>
      </c>
      <c r="AF5" s="24" t="s">
        <v>12</v>
      </c>
      <c r="AG5" s="24" t="s">
        <v>40</v>
      </c>
      <c r="AH5" s="24" t="s">
        <v>36</v>
      </c>
      <c r="AI5" s="24" t="s">
        <v>32</v>
      </c>
      <c r="AJ5" s="340" t="s">
        <v>41</v>
      </c>
      <c r="AK5" s="37"/>
      <c r="AL5" s="24" t="s">
        <v>42</v>
      </c>
      <c r="AM5" s="24" t="s">
        <v>32</v>
      </c>
      <c r="AN5" s="24" t="s">
        <v>14</v>
      </c>
      <c r="AO5" s="25" t="s">
        <v>43</v>
      </c>
      <c r="AP5" s="24" t="s">
        <v>29</v>
      </c>
      <c r="AQ5" s="24" t="s">
        <v>12</v>
      </c>
      <c r="AR5" s="24" t="s">
        <v>33</v>
      </c>
      <c r="AT5" s="365">
        <f>COUNTIF(B5:AR5,"语")</f>
        <v>6</v>
      </c>
      <c r="AU5" s="365">
        <f>COUNTIF(B5:AR5,"数")</f>
        <v>5</v>
      </c>
      <c r="AV5" s="365">
        <f>COUNTIF(B5:AR5,"英")</f>
        <v>5</v>
      </c>
      <c r="AW5" s="365">
        <f>COUNTIF(B5:AR5,"政")</f>
        <v>2</v>
      </c>
      <c r="AX5" s="365">
        <f>COUNTIF(B5:AR5,"历")</f>
        <v>2</v>
      </c>
      <c r="AY5" s="365">
        <f>COUNTIF(B5:AR5,"地")</f>
        <v>3</v>
      </c>
      <c r="AZ5" s="365">
        <f>COUNTIF(B5:AR5,"生")</f>
        <v>3</v>
      </c>
      <c r="BA5" s="365">
        <f>COUNTIF(B5:AR5,"体")</f>
        <v>3</v>
      </c>
      <c r="BB5" s="365">
        <f>COUNTIF(B5:AR5,"音")</f>
        <v>1</v>
      </c>
      <c r="BC5" s="365">
        <f>COUNTIF(B5:AR5,"美")</f>
        <v>1</v>
      </c>
      <c r="BD5" s="365">
        <f>COUNTIF(B5:AR5,"信")</f>
        <v>1</v>
      </c>
      <c r="BE5" s="365">
        <f>COUNTIF(B5:AR5,"心综")</f>
        <v>1</v>
      </c>
      <c r="BF5" s="365">
        <f>COUNTIF(B5:AR5,"班")</f>
        <v>1</v>
      </c>
      <c r="BG5" s="365">
        <f>COUNTIF(B5:AR5,"劳")</f>
        <v>1</v>
      </c>
      <c r="BH5" s="365">
        <f>COUNTIF(B5:AR5,"听说")</f>
        <v>1</v>
      </c>
      <c r="BI5" s="365">
        <f>COUNTIF(B5:AR5,"综实")</f>
        <v>0</v>
      </c>
    </row>
    <row r="6" s="26" customFormat="1" ht="47.1" customHeight="1" spans="1:61">
      <c r="A6" s="343" t="s">
        <v>44</v>
      </c>
      <c r="B6" s="25" t="s">
        <v>14</v>
      </c>
      <c r="C6" s="25" t="s">
        <v>12</v>
      </c>
      <c r="D6" s="25" t="s">
        <v>40</v>
      </c>
      <c r="E6" s="25" t="s">
        <v>32</v>
      </c>
      <c r="F6" s="25" t="s">
        <v>45</v>
      </c>
      <c r="G6" s="25" t="s">
        <v>33</v>
      </c>
      <c r="H6" s="12" t="s">
        <v>43</v>
      </c>
      <c r="I6" s="360" t="s">
        <v>36</v>
      </c>
      <c r="J6" s="344" t="s">
        <v>34</v>
      </c>
      <c r="K6" s="25" t="s">
        <v>32</v>
      </c>
      <c r="L6" s="25" t="s">
        <v>29</v>
      </c>
      <c r="M6" s="24" t="s">
        <v>35</v>
      </c>
      <c r="N6" s="25" t="s">
        <v>14</v>
      </c>
      <c r="O6" s="25" t="s">
        <v>26</v>
      </c>
      <c r="P6" s="25" t="s">
        <v>12</v>
      </c>
      <c r="Q6" s="25" t="s">
        <v>12</v>
      </c>
      <c r="R6" s="344" t="s">
        <v>37</v>
      </c>
      <c r="S6" s="37"/>
      <c r="T6" s="25" t="s">
        <v>14</v>
      </c>
      <c r="U6" s="25" t="s">
        <v>39</v>
      </c>
      <c r="V6" s="25" t="s">
        <v>33</v>
      </c>
      <c r="W6" s="25" t="s">
        <v>36</v>
      </c>
      <c r="X6" s="25" t="s">
        <v>12</v>
      </c>
      <c r="Y6" s="25" t="s">
        <v>31</v>
      </c>
      <c r="Z6" s="25" t="s">
        <v>32</v>
      </c>
      <c r="AA6" s="24" t="s">
        <v>30</v>
      </c>
      <c r="AB6" s="37"/>
      <c r="AC6" s="25" t="s">
        <v>12</v>
      </c>
      <c r="AD6" s="25" t="s">
        <v>32</v>
      </c>
      <c r="AE6" s="25" t="s">
        <v>45</v>
      </c>
      <c r="AF6" s="25" t="s">
        <v>14</v>
      </c>
      <c r="AG6" s="25" t="s">
        <v>30</v>
      </c>
      <c r="AH6" s="25" t="s">
        <v>29</v>
      </c>
      <c r="AI6" s="25" t="s">
        <v>35</v>
      </c>
      <c r="AJ6" s="344" t="s">
        <v>41</v>
      </c>
      <c r="AK6" s="37"/>
      <c r="AL6" s="25" t="s">
        <v>29</v>
      </c>
      <c r="AM6" s="25" t="s">
        <v>38</v>
      </c>
      <c r="AN6" s="24" t="s">
        <v>32</v>
      </c>
      <c r="AO6" s="25" t="s">
        <v>30</v>
      </c>
      <c r="AP6" s="25" t="s">
        <v>14</v>
      </c>
      <c r="AQ6" s="25" t="s">
        <v>33</v>
      </c>
      <c r="AR6" s="360" t="s">
        <v>12</v>
      </c>
      <c r="AT6" s="365">
        <f>COUNTIF(B6:AR6,"语")</f>
        <v>6</v>
      </c>
      <c r="AU6" s="365">
        <f>COUNTIF(B6:AR6,"数")</f>
        <v>5</v>
      </c>
      <c r="AV6" s="365">
        <f>COUNTIF(B6:AR6,"英")</f>
        <v>5</v>
      </c>
      <c r="AW6" s="365">
        <f>COUNTIF(B6:AR6,"政")</f>
        <v>2</v>
      </c>
      <c r="AX6" s="365">
        <f>COUNTIF(B6:AR6,"历")</f>
        <v>2</v>
      </c>
      <c r="AY6" s="365">
        <f>COUNTIF(B6:AR6,"地")</f>
        <v>3</v>
      </c>
      <c r="AZ6" s="365">
        <f>COUNTIF(B6:AR6,"生")</f>
        <v>3</v>
      </c>
      <c r="BA6" s="365">
        <f>COUNTIF(B6:AR6,"体")</f>
        <v>3</v>
      </c>
      <c r="BB6" s="365">
        <f>COUNTIF(B6:AR6,"音")</f>
        <v>1</v>
      </c>
      <c r="BC6" s="365">
        <f>COUNTIF(B6:AR6,"美")</f>
        <v>1</v>
      </c>
      <c r="BD6" s="365">
        <f>COUNTIF(B6:AR6,"信")</f>
        <v>1</v>
      </c>
      <c r="BE6" s="365">
        <f>COUNTIF(B6:AR6,"心综")</f>
        <v>1</v>
      </c>
      <c r="BF6" s="365">
        <f>COUNTIF(B6:AR6,"班")</f>
        <v>1</v>
      </c>
      <c r="BG6" s="365">
        <f>COUNTIF(B6:AR6,"劳")</f>
        <v>1</v>
      </c>
      <c r="BH6" s="365">
        <f>COUNTIF(B6:AR6,"听说")</f>
        <v>1</v>
      </c>
      <c r="BI6" s="365">
        <f>COUNTIF(B6:AR6,"综实")</f>
        <v>0</v>
      </c>
    </row>
    <row r="7" s="26" customFormat="1" ht="47.1" customHeight="1" spans="1:61">
      <c r="A7" s="343" t="s">
        <v>46</v>
      </c>
      <c r="B7" s="25" t="s">
        <v>33</v>
      </c>
      <c r="C7" s="25" t="s">
        <v>36</v>
      </c>
      <c r="D7" s="25" t="s">
        <v>35</v>
      </c>
      <c r="E7" s="25" t="s">
        <v>32</v>
      </c>
      <c r="F7" s="25" t="s">
        <v>38</v>
      </c>
      <c r="G7" s="25" t="s">
        <v>14</v>
      </c>
      <c r="H7" s="25" t="s">
        <v>12</v>
      </c>
      <c r="I7" s="360" t="s">
        <v>40</v>
      </c>
      <c r="J7" s="344" t="s">
        <v>34</v>
      </c>
      <c r="K7" s="25" t="s">
        <v>29</v>
      </c>
      <c r="L7" s="25" t="s">
        <v>14</v>
      </c>
      <c r="M7" s="25" t="s">
        <v>47</v>
      </c>
      <c r="N7" s="344" t="s">
        <v>32</v>
      </c>
      <c r="O7" s="344" t="s">
        <v>33</v>
      </c>
      <c r="P7" s="25" t="s">
        <v>12</v>
      </c>
      <c r="Q7" s="25" t="s">
        <v>12</v>
      </c>
      <c r="R7" s="344" t="s">
        <v>37</v>
      </c>
      <c r="S7" s="12"/>
      <c r="T7" s="12" t="s">
        <v>39</v>
      </c>
      <c r="U7" s="25" t="s">
        <v>14</v>
      </c>
      <c r="V7" s="24" t="s">
        <v>29</v>
      </c>
      <c r="W7" s="25" t="s">
        <v>30</v>
      </c>
      <c r="X7" s="25" t="s">
        <v>12</v>
      </c>
      <c r="Y7" s="25" t="s">
        <v>36</v>
      </c>
      <c r="Z7" s="25" t="s">
        <v>32</v>
      </c>
      <c r="AA7" s="25" t="s">
        <v>35</v>
      </c>
      <c r="AB7" s="37"/>
      <c r="AC7" s="25" t="s">
        <v>33</v>
      </c>
      <c r="AD7" s="25" t="s">
        <v>12</v>
      </c>
      <c r="AE7" s="25" t="s">
        <v>30</v>
      </c>
      <c r="AF7" s="25" t="s">
        <v>32</v>
      </c>
      <c r="AG7" s="25" t="s">
        <v>47</v>
      </c>
      <c r="AH7" s="25" t="s">
        <v>14</v>
      </c>
      <c r="AI7" s="25" t="s">
        <v>26</v>
      </c>
      <c r="AJ7" s="344" t="s">
        <v>41</v>
      </c>
      <c r="AK7" s="12"/>
      <c r="AL7" s="25" t="s">
        <v>43</v>
      </c>
      <c r="AM7" s="25" t="s">
        <v>31</v>
      </c>
      <c r="AN7" s="25" t="s">
        <v>32</v>
      </c>
      <c r="AO7" s="25" t="s">
        <v>14</v>
      </c>
      <c r="AP7" s="25" t="s">
        <v>30</v>
      </c>
      <c r="AQ7" s="366" t="s">
        <v>12</v>
      </c>
      <c r="AR7" s="366" t="s">
        <v>29</v>
      </c>
      <c r="AT7" s="365">
        <f>COUNTIF(B7:AR7,"语")</f>
        <v>6</v>
      </c>
      <c r="AU7" s="365">
        <f>COUNTIF(B7:AR7,"数")</f>
        <v>5</v>
      </c>
      <c r="AV7" s="365">
        <f>COUNTIF(B7:AR7,"英")</f>
        <v>5</v>
      </c>
      <c r="AW7" s="365">
        <f>COUNTIF(B7:AR7,"政")</f>
        <v>2</v>
      </c>
      <c r="AX7" s="365">
        <f>COUNTIF(B7:AR7,"历")</f>
        <v>2</v>
      </c>
      <c r="AY7" s="365">
        <f>COUNTIF(B7:AR7,"地")</f>
        <v>3</v>
      </c>
      <c r="AZ7" s="365">
        <f>COUNTIF(B7:AR7,"生")</f>
        <v>3</v>
      </c>
      <c r="BA7" s="365">
        <f>COUNTIF(B7:AR7,"体")</f>
        <v>3</v>
      </c>
      <c r="BB7" s="365">
        <f>COUNTIF(B7:AR7,"音")</f>
        <v>1</v>
      </c>
      <c r="BC7" s="365">
        <f>COUNTIF(B7:AR7,"美")</f>
        <v>1</v>
      </c>
      <c r="BD7" s="365">
        <f>COUNTIF(B7:AR7,"信")</f>
        <v>1</v>
      </c>
      <c r="BE7" s="365">
        <f>COUNTIF(B7:AR7,"心综")</f>
        <v>1</v>
      </c>
      <c r="BF7" s="365">
        <f>COUNTIF(B7:AR7,"班")</f>
        <v>1</v>
      </c>
      <c r="BG7" s="365">
        <f>COUNTIF(B7:AR7,"劳")</f>
        <v>1</v>
      </c>
      <c r="BH7" s="365">
        <f>COUNTIF(B7:AR7,"听说")</f>
        <v>1</v>
      </c>
      <c r="BI7" s="365">
        <f>COUNTIF(B7:AR7,"综实")</f>
        <v>0</v>
      </c>
    </row>
    <row r="8" s="26" customFormat="1" ht="47.1" customHeight="1" spans="1:61">
      <c r="A8" s="343" t="s">
        <v>48</v>
      </c>
      <c r="B8" s="25" t="s">
        <v>32</v>
      </c>
      <c r="C8" s="25" t="s">
        <v>31</v>
      </c>
      <c r="D8" s="25" t="s">
        <v>12</v>
      </c>
      <c r="E8" s="25" t="s">
        <v>29</v>
      </c>
      <c r="F8" s="25" t="s">
        <v>33</v>
      </c>
      <c r="G8" s="364" t="s">
        <v>30</v>
      </c>
      <c r="H8" s="364" t="s">
        <v>39</v>
      </c>
      <c r="I8" s="366" t="s">
        <v>14</v>
      </c>
      <c r="J8" s="344" t="s">
        <v>34</v>
      </c>
      <c r="K8" s="25" t="s">
        <v>12</v>
      </c>
      <c r="L8" s="25" t="s">
        <v>12</v>
      </c>
      <c r="M8" s="25" t="s">
        <v>29</v>
      </c>
      <c r="N8" s="25" t="s">
        <v>14</v>
      </c>
      <c r="O8" s="344" t="s">
        <v>35</v>
      </c>
      <c r="P8" s="25" t="s">
        <v>32</v>
      </c>
      <c r="Q8" s="25" t="s">
        <v>47</v>
      </c>
      <c r="R8" s="344" t="s">
        <v>37</v>
      </c>
      <c r="S8" s="12"/>
      <c r="T8" s="25" t="s">
        <v>14</v>
      </c>
      <c r="U8" s="366" t="s">
        <v>12</v>
      </c>
      <c r="V8" s="364" t="s">
        <v>30</v>
      </c>
      <c r="W8" s="25" t="s">
        <v>43</v>
      </c>
      <c r="X8" s="25" t="s">
        <v>40</v>
      </c>
      <c r="Y8" s="25" t="s">
        <v>33</v>
      </c>
      <c r="Z8" s="12" t="s">
        <v>36</v>
      </c>
      <c r="AA8" s="25" t="s">
        <v>32</v>
      </c>
      <c r="AB8" s="37"/>
      <c r="AC8" s="25" t="s">
        <v>32</v>
      </c>
      <c r="AD8" s="25" t="s">
        <v>47</v>
      </c>
      <c r="AE8" s="25" t="s">
        <v>14</v>
      </c>
      <c r="AF8" s="25" t="s">
        <v>26</v>
      </c>
      <c r="AG8" s="360" t="s">
        <v>29</v>
      </c>
      <c r="AH8" s="25" t="s">
        <v>12</v>
      </c>
      <c r="AI8" s="25" t="s">
        <v>30</v>
      </c>
      <c r="AJ8" s="344" t="s">
        <v>41</v>
      </c>
      <c r="AK8" s="37"/>
      <c r="AL8" s="25" t="s">
        <v>32</v>
      </c>
      <c r="AM8" s="25" t="s">
        <v>35</v>
      </c>
      <c r="AN8" s="25" t="s">
        <v>14</v>
      </c>
      <c r="AO8" s="25" t="s">
        <v>33</v>
      </c>
      <c r="AP8" s="25" t="s">
        <v>38</v>
      </c>
      <c r="AQ8" s="25" t="s">
        <v>36</v>
      </c>
      <c r="AR8" s="25" t="s">
        <v>12</v>
      </c>
      <c r="AS8" s="25"/>
      <c r="AT8" s="365">
        <f>COUNTIF(B8:AS8,"语")</f>
        <v>6</v>
      </c>
      <c r="AU8" s="365">
        <f>COUNTIF(B8:AS8,"数")</f>
        <v>5</v>
      </c>
      <c r="AV8" s="365">
        <f>COUNTIF(B8:AS8,"英")</f>
        <v>5</v>
      </c>
      <c r="AW8" s="365">
        <f>COUNTIF(B8:AS8,"政")</f>
        <v>2</v>
      </c>
      <c r="AX8" s="365">
        <f>COUNTIF(B8:AS8,"历")</f>
        <v>2</v>
      </c>
      <c r="AY8" s="365">
        <f>COUNTIF(B8:AS8,"地")</f>
        <v>3</v>
      </c>
      <c r="AZ8" s="365">
        <f>COUNTIF(B8:AS8,"生")</f>
        <v>3</v>
      </c>
      <c r="BA8" s="365">
        <f>COUNTIF(B8:AS8,"体")</f>
        <v>3</v>
      </c>
      <c r="BB8" s="365">
        <f>COUNTIF(B8:AS8,"音")</f>
        <v>1</v>
      </c>
      <c r="BC8" s="365">
        <f>COUNTIF(B8:AS8,"美")</f>
        <v>1</v>
      </c>
      <c r="BD8" s="365">
        <f>COUNTIF(B8:AS8,"信")</f>
        <v>1</v>
      </c>
      <c r="BE8" s="365">
        <f>COUNTIF(B8:AS8,"心综")</f>
        <v>1</v>
      </c>
      <c r="BF8" s="365">
        <f>COUNTIF(B8:AS8,"班")</f>
        <v>1</v>
      </c>
      <c r="BG8" s="365">
        <f>COUNTIF(B8:AS8,"劳")</f>
        <v>1</v>
      </c>
      <c r="BH8" s="365">
        <f>COUNTIF(B8:AS8,"听说")</f>
        <v>1</v>
      </c>
      <c r="BI8" s="365">
        <f>COUNTIF(B8:AS8,"综实")</f>
        <v>0</v>
      </c>
    </row>
    <row r="9" s="26" customFormat="1" ht="47.1" customHeight="1" spans="1:61">
      <c r="A9" s="343" t="s">
        <v>49</v>
      </c>
      <c r="B9" s="360" t="s">
        <v>36</v>
      </c>
      <c r="C9" s="25" t="s">
        <v>12</v>
      </c>
      <c r="D9" s="25" t="s">
        <v>14</v>
      </c>
      <c r="E9" s="25" t="s">
        <v>33</v>
      </c>
      <c r="F9" s="25" t="s">
        <v>29</v>
      </c>
      <c r="G9" s="25" t="s">
        <v>32</v>
      </c>
      <c r="H9" s="25" t="s">
        <v>30</v>
      </c>
      <c r="I9" s="362" t="s">
        <v>35</v>
      </c>
      <c r="J9" s="344" t="s">
        <v>34</v>
      </c>
      <c r="K9" s="25" t="s">
        <v>29</v>
      </c>
      <c r="L9" s="25" t="s">
        <v>12</v>
      </c>
      <c r="M9" s="25" t="s">
        <v>32</v>
      </c>
      <c r="N9" s="25" t="s">
        <v>50</v>
      </c>
      <c r="O9" s="344" t="s">
        <v>39</v>
      </c>
      <c r="P9" s="25" t="s">
        <v>14</v>
      </c>
      <c r="Q9" s="25" t="s">
        <v>26</v>
      </c>
      <c r="R9" s="344" t="s">
        <v>37</v>
      </c>
      <c r="S9" s="12"/>
      <c r="T9" s="25" t="s">
        <v>36</v>
      </c>
      <c r="U9" s="25" t="s">
        <v>14</v>
      </c>
      <c r="V9" s="25" t="s">
        <v>38</v>
      </c>
      <c r="W9" s="25" t="s">
        <v>12</v>
      </c>
      <c r="X9" s="25" t="s">
        <v>12</v>
      </c>
      <c r="Y9" s="25" t="s">
        <v>35</v>
      </c>
      <c r="Z9" s="25" t="s">
        <v>32</v>
      </c>
      <c r="AA9" s="25" t="s">
        <v>30</v>
      </c>
      <c r="AB9" s="12"/>
      <c r="AC9" s="25" t="s">
        <v>43</v>
      </c>
      <c r="AD9" s="12" t="s">
        <v>30</v>
      </c>
      <c r="AE9" s="366" t="s">
        <v>12</v>
      </c>
      <c r="AF9" s="25" t="s">
        <v>14</v>
      </c>
      <c r="AG9" s="25" t="s">
        <v>33</v>
      </c>
      <c r="AH9" s="25" t="s">
        <v>32</v>
      </c>
      <c r="AI9" s="366" t="s">
        <v>40</v>
      </c>
      <c r="AJ9" s="344" t="s">
        <v>41</v>
      </c>
      <c r="AK9" s="37"/>
      <c r="AL9" s="25" t="s">
        <v>32</v>
      </c>
      <c r="AM9" s="25" t="s">
        <v>50</v>
      </c>
      <c r="AN9" s="25" t="s">
        <v>31</v>
      </c>
      <c r="AO9" s="25" t="s">
        <v>14</v>
      </c>
      <c r="AP9" s="25" t="s">
        <v>29</v>
      </c>
      <c r="AQ9" s="25" t="s">
        <v>33</v>
      </c>
      <c r="AR9" s="25" t="s">
        <v>12</v>
      </c>
      <c r="AT9" s="365">
        <f>COUNTIF(B9:AR9,"语")</f>
        <v>6</v>
      </c>
      <c r="AU9" s="365">
        <f>COUNTIF(B9:AR9,"数")</f>
        <v>5</v>
      </c>
      <c r="AV9" s="365">
        <f>COUNTIF(B9:AR9,"英")</f>
        <v>5</v>
      </c>
      <c r="AW9" s="365">
        <f>COUNTIF(B9:AR9,"政")</f>
        <v>2</v>
      </c>
      <c r="AX9" s="365">
        <f>COUNTIF(B9:AR9,"历")</f>
        <v>2</v>
      </c>
      <c r="AY9" s="365">
        <f>COUNTIF(B9:AR9,"地")</f>
        <v>3</v>
      </c>
      <c r="AZ9" s="365">
        <f>COUNTIF(B9:AR9,"生")</f>
        <v>3</v>
      </c>
      <c r="BA9" s="365">
        <f>COUNTIF(B9:AR9,"体")</f>
        <v>3</v>
      </c>
      <c r="BB9" s="365">
        <f>COUNTIF(B9:AR9,"音")</f>
        <v>1</v>
      </c>
      <c r="BC9" s="365">
        <f>COUNTIF(B9:AR9,"美")</f>
        <v>1</v>
      </c>
      <c r="BD9" s="365">
        <f>COUNTIF(B9:AR9,"信")</f>
        <v>1</v>
      </c>
      <c r="BE9" s="365">
        <f>COUNTIF(B9:AR9,"心综")</f>
        <v>1</v>
      </c>
      <c r="BF9" s="365">
        <f>COUNTIF(B9:AR9,"班")</f>
        <v>1</v>
      </c>
      <c r="BG9" s="365">
        <f>COUNTIF(B9:AR9,"劳")</f>
        <v>1</v>
      </c>
      <c r="BH9" s="365">
        <f>COUNTIF(B9:AR9,"听说")</f>
        <v>1</v>
      </c>
      <c r="BI9" s="365">
        <f>COUNTIF(B9:AR9,"综实")</f>
        <v>0</v>
      </c>
    </row>
    <row r="10" s="26" customFormat="1" ht="47.1" customHeight="1" spans="1:61">
      <c r="A10" s="343" t="s">
        <v>51</v>
      </c>
      <c r="B10" s="12" t="s">
        <v>40</v>
      </c>
      <c r="C10" s="25" t="s">
        <v>29</v>
      </c>
      <c r="D10" s="25" t="s">
        <v>12</v>
      </c>
      <c r="E10" s="25" t="s">
        <v>32</v>
      </c>
      <c r="F10" s="25" t="s">
        <v>35</v>
      </c>
      <c r="G10" s="25" t="s">
        <v>14</v>
      </c>
      <c r="H10" s="25" t="s">
        <v>36</v>
      </c>
      <c r="I10" s="360" t="s">
        <v>30</v>
      </c>
      <c r="J10" s="344" t="s">
        <v>34</v>
      </c>
      <c r="K10" s="25" t="s">
        <v>14</v>
      </c>
      <c r="L10" s="25" t="s">
        <v>26</v>
      </c>
      <c r="M10" s="25" t="s">
        <v>33</v>
      </c>
      <c r="N10" s="25" t="s">
        <v>12</v>
      </c>
      <c r="O10" s="25" t="s">
        <v>29</v>
      </c>
      <c r="P10" s="25" t="s">
        <v>32</v>
      </c>
      <c r="Q10" s="25" t="s">
        <v>50</v>
      </c>
      <c r="R10" s="344" t="s">
        <v>37</v>
      </c>
      <c r="S10" s="12"/>
      <c r="T10" s="25" t="s">
        <v>12</v>
      </c>
      <c r="U10" s="25" t="s">
        <v>12</v>
      </c>
      <c r="V10" s="25" t="s">
        <v>14</v>
      </c>
      <c r="W10" s="25" t="s">
        <v>30</v>
      </c>
      <c r="X10" s="25" t="s">
        <v>36</v>
      </c>
      <c r="Y10" s="25" t="s">
        <v>32</v>
      </c>
      <c r="Z10" s="25" t="s">
        <v>31</v>
      </c>
      <c r="AA10" s="25" t="s">
        <v>35</v>
      </c>
      <c r="AB10" s="12"/>
      <c r="AC10" s="25" t="s">
        <v>32</v>
      </c>
      <c r="AD10" s="25" t="s">
        <v>12</v>
      </c>
      <c r="AE10" s="25" t="s">
        <v>30</v>
      </c>
      <c r="AF10" s="25" t="s">
        <v>33</v>
      </c>
      <c r="AG10" s="25" t="s">
        <v>14</v>
      </c>
      <c r="AH10" s="25" t="s">
        <v>29</v>
      </c>
      <c r="AI10" s="25" t="s">
        <v>39</v>
      </c>
      <c r="AJ10" s="344" t="s">
        <v>41</v>
      </c>
      <c r="AK10" s="12"/>
      <c r="AL10" s="25" t="s">
        <v>33</v>
      </c>
      <c r="AM10" s="25" t="s">
        <v>14</v>
      </c>
      <c r="AN10" s="25" t="s">
        <v>38</v>
      </c>
      <c r="AO10" s="25" t="s">
        <v>32</v>
      </c>
      <c r="AP10" s="25" t="s">
        <v>50</v>
      </c>
      <c r="AQ10" s="360" t="s">
        <v>12</v>
      </c>
      <c r="AR10" s="360" t="s">
        <v>43</v>
      </c>
      <c r="AS10" s="25"/>
      <c r="AT10" s="365">
        <f>COUNTIF(B10:AS10,"语")</f>
        <v>6</v>
      </c>
      <c r="AU10" s="365">
        <f>COUNTIF(B10:AS10,"数")</f>
        <v>5</v>
      </c>
      <c r="AV10" s="365">
        <f>COUNTIF(B10:AS10,"英")</f>
        <v>5</v>
      </c>
      <c r="AW10" s="365">
        <f>COUNTIF(B10:AS10,"政")</f>
        <v>2</v>
      </c>
      <c r="AX10" s="365">
        <f>COUNTIF(B10:AS10,"历")</f>
        <v>2</v>
      </c>
      <c r="AY10" s="365">
        <f>COUNTIF(B10:AS10,"地")</f>
        <v>3</v>
      </c>
      <c r="AZ10" s="365">
        <f>COUNTIF(B10:AS10,"生")</f>
        <v>3</v>
      </c>
      <c r="BA10" s="365">
        <f>COUNTIF(B10:AS10,"体")</f>
        <v>3</v>
      </c>
      <c r="BB10" s="365">
        <f>COUNTIF(B10:AS10,"音")</f>
        <v>1</v>
      </c>
      <c r="BC10" s="365">
        <f>COUNTIF(B10:AS10,"美")</f>
        <v>1</v>
      </c>
      <c r="BD10" s="365">
        <f>COUNTIF(B10:AS10,"信")</f>
        <v>1</v>
      </c>
      <c r="BE10" s="365">
        <f>COUNTIF(B10:AS10,"心综")</f>
        <v>1</v>
      </c>
      <c r="BF10" s="365">
        <f>COUNTIF(B10:AS10,"班")</f>
        <v>1</v>
      </c>
      <c r="BG10" s="365">
        <f>COUNTIF(B10:AS10,"劳")</f>
        <v>1</v>
      </c>
      <c r="BH10" s="365">
        <f>COUNTIF(B10:AS10,"听说")</f>
        <v>1</v>
      </c>
      <c r="BI10" s="365">
        <f>COUNTIF(B10:AS10,"综实")</f>
        <v>0</v>
      </c>
    </row>
    <row r="11" s="26" customFormat="1" ht="47.1" customHeight="1" spans="1:61">
      <c r="A11" s="343" t="s">
        <v>52</v>
      </c>
      <c r="B11" s="25" t="s">
        <v>29</v>
      </c>
      <c r="C11" s="25" t="s">
        <v>36</v>
      </c>
      <c r="D11" s="25" t="s">
        <v>12</v>
      </c>
      <c r="E11" s="25" t="s">
        <v>33</v>
      </c>
      <c r="F11" s="25" t="s">
        <v>14</v>
      </c>
      <c r="G11" s="25" t="s">
        <v>32</v>
      </c>
      <c r="H11" s="360" t="s">
        <v>40</v>
      </c>
      <c r="I11" s="367" t="s">
        <v>35</v>
      </c>
      <c r="J11" s="344" t="s">
        <v>34</v>
      </c>
      <c r="K11" s="25" t="s">
        <v>12</v>
      </c>
      <c r="L11" s="25" t="s">
        <v>12</v>
      </c>
      <c r="M11" s="25" t="s">
        <v>14</v>
      </c>
      <c r="N11" s="25" t="s">
        <v>32</v>
      </c>
      <c r="O11" s="25" t="s">
        <v>53</v>
      </c>
      <c r="P11" s="25" t="s">
        <v>30</v>
      </c>
      <c r="Q11" s="25" t="s">
        <v>33</v>
      </c>
      <c r="R11" s="344" t="s">
        <v>37</v>
      </c>
      <c r="S11" s="37"/>
      <c r="T11" s="25" t="s">
        <v>14</v>
      </c>
      <c r="U11" s="25" t="s">
        <v>38</v>
      </c>
      <c r="V11" s="25" t="s">
        <v>12</v>
      </c>
      <c r="W11" s="25" t="s">
        <v>29</v>
      </c>
      <c r="X11" s="25" t="s">
        <v>30</v>
      </c>
      <c r="Y11" s="25" t="s">
        <v>39</v>
      </c>
      <c r="Z11" s="25" t="s">
        <v>32</v>
      </c>
      <c r="AA11" s="344" t="s">
        <v>43</v>
      </c>
      <c r="AB11" s="37"/>
      <c r="AC11" s="25" t="s">
        <v>32</v>
      </c>
      <c r="AD11" s="25" t="s">
        <v>14</v>
      </c>
      <c r="AE11" s="25" t="s">
        <v>12</v>
      </c>
      <c r="AF11" s="25" t="s">
        <v>31</v>
      </c>
      <c r="AG11" s="25" t="s">
        <v>33</v>
      </c>
      <c r="AH11" s="25" t="s">
        <v>36</v>
      </c>
      <c r="AI11" s="25" t="s">
        <v>35</v>
      </c>
      <c r="AJ11" s="344" t="s">
        <v>41</v>
      </c>
      <c r="AK11" s="12"/>
      <c r="AL11" s="25" t="s">
        <v>14</v>
      </c>
      <c r="AM11" s="25" t="s">
        <v>26</v>
      </c>
      <c r="AN11" s="25" t="s">
        <v>30</v>
      </c>
      <c r="AO11" s="25" t="s">
        <v>32</v>
      </c>
      <c r="AP11" s="25" t="s">
        <v>53</v>
      </c>
      <c r="AQ11" s="25" t="s">
        <v>12</v>
      </c>
      <c r="AR11" s="360" t="s">
        <v>29</v>
      </c>
      <c r="AT11" s="365">
        <f>COUNTIF(B11:AR11,"语")</f>
        <v>6</v>
      </c>
      <c r="AU11" s="365">
        <f>COUNTIF(B11:AR11,"数")</f>
        <v>5</v>
      </c>
      <c r="AV11" s="365">
        <f>COUNTIF(B11:AR11,"英")</f>
        <v>5</v>
      </c>
      <c r="AW11" s="365">
        <f>COUNTIF(B11:AR11,"政")</f>
        <v>2</v>
      </c>
      <c r="AX11" s="365">
        <f>COUNTIF(B11:AR11,"历")</f>
        <v>2</v>
      </c>
      <c r="AY11" s="365">
        <f>COUNTIF(B11:AR11,"地")</f>
        <v>3</v>
      </c>
      <c r="AZ11" s="365">
        <f>COUNTIF(B11:AR11,"生")</f>
        <v>3</v>
      </c>
      <c r="BA11" s="365">
        <f>COUNTIF(B11:AR11,"体")</f>
        <v>3</v>
      </c>
      <c r="BB11" s="365">
        <f>COUNTIF(B11:AR11,"音")</f>
        <v>1</v>
      </c>
      <c r="BC11" s="365">
        <f>COUNTIF(B11:AR11,"美")</f>
        <v>1</v>
      </c>
      <c r="BD11" s="365">
        <f>COUNTIF(B11:AR11,"信")</f>
        <v>1</v>
      </c>
      <c r="BE11" s="365">
        <f>COUNTIF(B11:AR11,"心综")</f>
        <v>1</v>
      </c>
      <c r="BF11" s="365">
        <f>COUNTIF(B11:AR11,"班")</f>
        <v>1</v>
      </c>
      <c r="BG11" s="365">
        <f>COUNTIF(B11:AR11,"劳")</f>
        <v>1</v>
      </c>
      <c r="BH11" s="365">
        <f>COUNTIF(B11:AR11,"听说")</f>
        <v>1</v>
      </c>
      <c r="BI11" s="365">
        <f>COUNTIF(B11:AR11,"综实")</f>
        <v>0</v>
      </c>
    </row>
    <row r="12" s="26" customFormat="1" ht="47.1" customHeight="1" spans="1:61">
      <c r="A12" s="343" t="s">
        <v>54</v>
      </c>
      <c r="B12" s="25" t="s">
        <v>36</v>
      </c>
      <c r="C12" s="25" t="s">
        <v>32</v>
      </c>
      <c r="D12" s="362" t="s">
        <v>39</v>
      </c>
      <c r="E12" s="360" t="s">
        <v>14</v>
      </c>
      <c r="F12" s="25" t="s">
        <v>30</v>
      </c>
      <c r="G12" s="25" t="s">
        <v>12</v>
      </c>
      <c r="H12" s="25" t="s">
        <v>33</v>
      </c>
      <c r="I12" s="360" t="s">
        <v>31</v>
      </c>
      <c r="J12" s="344" t="s">
        <v>34</v>
      </c>
      <c r="K12" s="25" t="s">
        <v>32</v>
      </c>
      <c r="L12" s="25" t="s">
        <v>53</v>
      </c>
      <c r="M12" s="25" t="s">
        <v>29</v>
      </c>
      <c r="N12" s="25" t="s">
        <v>12</v>
      </c>
      <c r="O12" s="25" t="s">
        <v>12</v>
      </c>
      <c r="P12" s="12" t="s">
        <v>14</v>
      </c>
      <c r="Q12" s="25" t="s">
        <v>35</v>
      </c>
      <c r="R12" s="344" t="s">
        <v>37</v>
      </c>
      <c r="S12" s="37"/>
      <c r="T12" s="25" t="s">
        <v>29</v>
      </c>
      <c r="U12" s="25" t="s">
        <v>36</v>
      </c>
      <c r="V12" s="360" t="s">
        <v>30</v>
      </c>
      <c r="W12" s="25" t="s">
        <v>14</v>
      </c>
      <c r="X12" s="25" t="s">
        <v>12</v>
      </c>
      <c r="Y12" s="25" t="s">
        <v>32</v>
      </c>
      <c r="Z12" s="25" t="s">
        <v>33</v>
      </c>
      <c r="AA12" s="25" t="s">
        <v>40</v>
      </c>
      <c r="AB12" s="37"/>
      <c r="AC12" s="25" t="s">
        <v>35</v>
      </c>
      <c r="AD12" s="25" t="s">
        <v>12</v>
      </c>
      <c r="AE12" s="25" t="s">
        <v>14</v>
      </c>
      <c r="AF12" s="25" t="s">
        <v>32</v>
      </c>
      <c r="AG12" s="25" t="s">
        <v>38</v>
      </c>
      <c r="AH12" s="25" t="s">
        <v>30</v>
      </c>
      <c r="AI12" s="360" t="s">
        <v>43</v>
      </c>
      <c r="AJ12" s="344" t="s">
        <v>41</v>
      </c>
      <c r="AK12" s="12"/>
      <c r="AL12" s="25" t="s">
        <v>32</v>
      </c>
      <c r="AM12" s="25" t="s">
        <v>53</v>
      </c>
      <c r="AN12" s="25" t="s">
        <v>29</v>
      </c>
      <c r="AO12" s="25" t="s">
        <v>14</v>
      </c>
      <c r="AP12" s="25" t="s">
        <v>26</v>
      </c>
      <c r="AQ12" s="25" t="s">
        <v>33</v>
      </c>
      <c r="AR12" s="25" t="s">
        <v>12</v>
      </c>
      <c r="AS12" s="25"/>
      <c r="AT12" s="365">
        <f>COUNTIF(B12:AS12,"语")</f>
        <v>6</v>
      </c>
      <c r="AU12" s="365">
        <f>COUNTIF(B12:AS12,"数")</f>
        <v>5</v>
      </c>
      <c r="AV12" s="365">
        <f>COUNTIF(B12:AS12,"英")</f>
        <v>5</v>
      </c>
      <c r="AW12" s="365">
        <f>COUNTIF(B12:AS12,"政")</f>
        <v>2</v>
      </c>
      <c r="AX12" s="365">
        <f>COUNTIF(B12:AS12,"历")</f>
        <v>2</v>
      </c>
      <c r="AY12" s="365">
        <f>COUNTIF(B12:AS12,"地")</f>
        <v>3</v>
      </c>
      <c r="AZ12" s="365">
        <f>COUNTIF(B12:AS12,"生")</f>
        <v>3</v>
      </c>
      <c r="BA12" s="365">
        <f>COUNTIF(B12:AS12,"体")</f>
        <v>3</v>
      </c>
      <c r="BB12" s="365">
        <f>COUNTIF(B12:AS12,"音")</f>
        <v>1</v>
      </c>
      <c r="BC12" s="365">
        <f>COUNTIF(B12:AS12,"美")</f>
        <v>1</v>
      </c>
      <c r="BD12" s="365">
        <f>COUNTIF(B12:AS12,"信")</f>
        <v>1</v>
      </c>
      <c r="BE12" s="365">
        <f>COUNTIF(B12:AS12,"心综")</f>
        <v>1</v>
      </c>
      <c r="BF12" s="365">
        <f>COUNTIF(B12:AS12,"班")</f>
        <v>1</v>
      </c>
      <c r="BG12" s="365">
        <f>COUNTIF(B12:AS12,"劳")</f>
        <v>1</v>
      </c>
      <c r="BH12" s="365">
        <f>COUNTIF(B12:AS12,"听说")</f>
        <v>1</v>
      </c>
      <c r="BI12" s="365">
        <f>COUNTIF(B12:AS12,"综实")</f>
        <v>0</v>
      </c>
    </row>
    <row r="13" s="26" customFormat="1" ht="47.1" customHeight="1" spans="1:61">
      <c r="A13" s="343" t="s">
        <v>55</v>
      </c>
      <c r="B13" s="25" t="s">
        <v>32</v>
      </c>
      <c r="C13" s="25" t="s">
        <v>33</v>
      </c>
      <c r="D13" s="25" t="s">
        <v>29</v>
      </c>
      <c r="E13" s="25" t="s">
        <v>36</v>
      </c>
      <c r="F13" s="25" t="s">
        <v>43</v>
      </c>
      <c r="G13" s="25" t="s">
        <v>12</v>
      </c>
      <c r="H13" s="25" t="s">
        <v>14</v>
      </c>
      <c r="I13" s="368" t="s">
        <v>30</v>
      </c>
      <c r="J13" s="344" t="s">
        <v>34</v>
      </c>
      <c r="K13" s="25" t="s">
        <v>12</v>
      </c>
      <c r="L13" s="25" t="s">
        <v>12</v>
      </c>
      <c r="M13" s="25" t="s">
        <v>35</v>
      </c>
      <c r="N13" s="25" t="s">
        <v>32</v>
      </c>
      <c r="O13" s="25" t="s">
        <v>56</v>
      </c>
      <c r="P13" s="25" t="s">
        <v>14</v>
      </c>
      <c r="Q13" s="25" t="s">
        <v>31</v>
      </c>
      <c r="R13" s="344" t="s">
        <v>37</v>
      </c>
      <c r="S13" s="37"/>
      <c r="T13" s="25" t="s">
        <v>14</v>
      </c>
      <c r="U13" s="25" t="s">
        <v>26</v>
      </c>
      <c r="V13" s="25" t="s">
        <v>29</v>
      </c>
      <c r="W13" s="25" t="s">
        <v>12</v>
      </c>
      <c r="X13" s="25" t="s">
        <v>38</v>
      </c>
      <c r="Y13" s="25" t="s">
        <v>32</v>
      </c>
      <c r="Z13" s="344" t="s">
        <v>30</v>
      </c>
      <c r="AA13" s="344" t="s">
        <v>39</v>
      </c>
      <c r="AB13" s="12"/>
      <c r="AC13" s="25" t="s">
        <v>32</v>
      </c>
      <c r="AD13" s="25" t="s">
        <v>30</v>
      </c>
      <c r="AE13" s="25" t="s">
        <v>12</v>
      </c>
      <c r="AF13" s="25" t="s">
        <v>36</v>
      </c>
      <c r="AG13" s="25" t="s">
        <v>35</v>
      </c>
      <c r="AH13" s="25" t="s">
        <v>33</v>
      </c>
      <c r="AI13" s="25" t="s">
        <v>14</v>
      </c>
      <c r="AJ13" s="344" t="s">
        <v>41</v>
      </c>
      <c r="AK13" s="37"/>
      <c r="AL13" s="366" t="s">
        <v>29</v>
      </c>
      <c r="AM13" s="366" t="s">
        <v>14</v>
      </c>
      <c r="AN13" s="366" t="s">
        <v>33</v>
      </c>
      <c r="AO13" s="366" t="s">
        <v>32</v>
      </c>
      <c r="AP13" s="366" t="s">
        <v>56</v>
      </c>
      <c r="AQ13" s="25" t="s">
        <v>12</v>
      </c>
      <c r="AR13" s="25" t="s">
        <v>40</v>
      </c>
      <c r="AS13" s="25"/>
      <c r="AT13" s="365">
        <f>COUNTIF(B13:AS13,"语")</f>
        <v>6</v>
      </c>
      <c r="AU13" s="365">
        <f>COUNTIF(B13:AS13,"数")</f>
        <v>5</v>
      </c>
      <c r="AV13" s="365">
        <f>COUNTIF(B13:AS13,"英")</f>
        <v>5</v>
      </c>
      <c r="AW13" s="365">
        <f>COUNTIF(B13:AS13,"政")</f>
        <v>2</v>
      </c>
      <c r="AX13" s="365">
        <f>COUNTIF(B13:AS13,"历")</f>
        <v>2</v>
      </c>
      <c r="AY13" s="365">
        <f>COUNTIF(B13:AS13,"地")</f>
        <v>3</v>
      </c>
      <c r="AZ13" s="365">
        <f>COUNTIF(B13:AS13,"生")</f>
        <v>3</v>
      </c>
      <c r="BA13" s="365">
        <f>COUNTIF(B13:AS13,"体")</f>
        <v>3</v>
      </c>
      <c r="BB13" s="365">
        <f>COUNTIF(B13:AS13,"音")</f>
        <v>1</v>
      </c>
      <c r="BC13" s="365">
        <f>COUNTIF(B13:AS13,"美")</f>
        <v>1</v>
      </c>
      <c r="BD13" s="365">
        <f>COUNTIF(B13:AS13,"信")</f>
        <v>1</v>
      </c>
      <c r="BE13" s="365">
        <f>COUNTIF(B13:AS13,"心综")</f>
        <v>1</v>
      </c>
      <c r="BF13" s="365">
        <f>COUNTIF(B13:AS13,"班")</f>
        <v>1</v>
      </c>
      <c r="BG13" s="365">
        <f>COUNTIF(B13:AS13,"劳")</f>
        <v>1</v>
      </c>
      <c r="BH13" s="365">
        <f>COUNTIF(B13:AS13,"听说")</f>
        <v>1</v>
      </c>
      <c r="BI13" s="365">
        <f>COUNTIF(B13:AS13,"综实")</f>
        <v>0</v>
      </c>
    </row>
    <row r="14" s="26" customFormat="1" ht="47.1" customHeight="1" spans="1:61">
      <c r="A14" s="343" t="s">
        <v>57</v>
      </c>
      <c r="B14" s="25" t="s">
        <v>14</v>
      </c>
      <c r="C14" s="25" t="s">
        <v>12</v>
      </c>
      <c r="D14" s="12" t="s">
        <v>35</v>
      </c>
      <c r="E14" s="25" t="s">
        <v>32</v>
      </c>
      <c r="F14" s="25" t="s">
        <v>36</v>
      </c>
      <c r="G14" s="25" t="s">
        <v>33</v>
      </c>
      <c r="H14" s="25" t="s">
        <v>29</v>
      </c>
      <c r="I14" s="362" t="s">
        <v>43</v>
      </c>
      <c r="J14" s="344" t="s">
        <v>34</v>
      </c>
      <c r="K14" s="25" t="s">
        <v>32</v>
      </c>
      <c r="L14" s="25" t="s">
        <v>56</v>
      </c>
      <c r="M14" s="25" t="s">
        <v>14</v>
      </c>
      <c r="N14" s="25" t="s">
        <v>12</v>
      </c>
      <c r="O14" s="25" t="s">
        <v>12</v>
      </c>
      <c r="P14" s="25" t="s">
        <v>33</v>
      </c>
      <c r="Q14" s="25" t="s">
        <v>30</v>
      </c>
      <c r="R14" s="344" t="s">
        <v>37</v>
      </c>
      <c r="S14" s="37"/>
      <c r="T14" s="25" t="s">
        <v>36</v>
      </c>
      <c r="U14" s="25" t="s">
        <v>29</v>
      </c>
      <c r="V14" s="25" t="s">
        <v>12</v>
      </c>
      <c r="W14" s="25" t="s">
        <v>14</v>
      </c>
      <c r="X14" s="25" t="s">
        <v>26</v>
      </c>
      <c r="Y14" s="25" t="s">
        <v>35</v>
      </c>
      <c r="Z14" s="25" t="s">
        <v>32</v>
      </c>
      <c r="AA14" s="25" t="s">
        <v>30</v>
      </c>
      <c r="AB14" s="12"/>
      <c r="AC14" s="25" t="s">
        <v>12</v>
      </c>
      <c r="AD14" s="25" t="s">
        <v>33</v>
      </c>
      <c r="AE14" s="25" t="s">
        <v>14</v>
      </c>
      <c r="AF14" s="25" t="s">
        <v>38</v>
      </c>
      <c r="AG14" s="25" t="s">
        <v>30</v>
      </c>
      <c r="AH14" s="25" t="s">
        <v>39</v>
      </c>
      <c r="AI14" s="25" t="s">
        <v>32</v>
      </c>
      <c r="AJ14" s="344" t="s">
        <v>41</v>
      </c>
      <c r="AK14" s="25"/>
      <c r="AL14" s="366" t="s">
        <v>32</v>
      </c>
      <c r="AM14" s="366" t="s">
        <v>56</v>
      </c>
      <c r="AN14" s="366" t="s">
        <v>14</v>
      </c>
      <c r="AO14" s="366" t="s">
        <v>29</v>
      </c>
      <c r="AP14" s="366" t="s">
        <v>40</v>
      </c>
      <c r="AQ14" s="25" t="s">
        <v>31</v>
      </c>
      <c r="AR14" s="25" t="s">
        <v>12</v>
      </c>
      <c r="AS14" s="25"/>
      <c r="AT14" s="365">
        <f>COUNTIF(B14:AS14,"语")</f>
        <v>6</v>
      </c>
      <c r="AU14" s="365">
        <f>COUNTIF(B14:AS14,"数")</f>
        <v>5</v>
      </c>
      <c r="AV14" s="365">
        <f>COUNTIF(B14:AS14,"英")</f>
        <v>5</v>
      </c>
      <c r="AW14" s="365">
        <f>COUNTIF(B14:AS14,"政")</f>
        <v>2</v>
      </c>
      <c r="AX14" s="365">
        <f>COUNTIF(B14:AS14,"历")</f>
        <v>2</v>
      </c>
      <c r="AY14" s="365">
        <f>COUNTIF(B14:AS14,"地")</f>
        <v>3</v>
      </c>
      <c r="AZ14" s="365">
        <f>COUNTIF(B14:AS14,"生")</f>
        <v>3</v>
      </c>
      <c r="BA14" s="365">
        <f>COUNTIF(B14:AS14,"体")</f>
        <v>3</v>
      </c>
      <c r="BB14" s="365">
        <f>COUNTIF(B14:AS14,"音")</f>
        <v>1</v>
      </c>
      <c r="BC14" s="365">
        <f>COUNTIF(B14:AS14,"美")</f>
        <v>1</v>
      </c>
      <c r="BD14" s="365">
        <f>COUNTIF(B14:AS14,"信")</f>
        <v>1</v>
      </c>
      <c r="BE14" s="365">
        <f>COUNTIF(B14:AS14,"心综")</f>
        <v>1</v>
      </c>
      <c r="BF14" s="365">
        <f>COUNTIF(B14:AS14,"班")</f>
        <v>1</v>
      </c>
      <c r="BG14" s="365">
        <f>COUNTIF(B14:AS14,"劳")</f>
        <v>1</v>
      </c>
      <c r="BH14" s="365">
        <f>COUNTIF(B14:AS14,"听说")</f>
        <v>1</v>
      </c>
      <c r="BI14" s="365">
        <f>COUNTIF(B14:AS14,"综实")</f>
        <v>0</v>
      </c>
    </row>
    <row r="15" s="26" customFormat="1" ht="47.1" customHeight="1" spans="1:61">
      <c r="A15" s="343" t="s">
        <v>58</v>
      </c>
      <c r="B15" s="25" t="s">
        <v>43</v>
      </c>
      <c r="C15" s="25" t="s">
        <v>29</v>
      </c>
      <c r="D15" s="25" t="s">
        <v>32</v>
      </c>
      <c r="E15" s="25" t="s">
        <v>33</v>
      </c>
      <c r="F15" s="25" t="s">
        <v>14</v>
      </c>
      <c r="G15" s="25" t="s">
        <v>30</v>
      </c>
      <c r="H15" s="25" t="s">
        <v>12</v>
      </c>
      <c r="I15" s="366" t="s">
        <v>35</v>
      </c>
      <c r="J15" s="344" t="s">
        <v>34</v>
      </c>
      <c r="K15" s="25" t="s">
        <v>12</v>
      </c>
      <c r="L15" s="25" t="s">
        <v>12</v>
      </c>
      <c r="M15" s="366" t="s">
        <v>36</v>
      </c>
      <c r="N15" s="25" t="s">
        <v>59</v>
      </c>
      <c r="O15" s="25" t="s">
        <v>32</v>
      </c>
      <c r="P15" s="25" t="s">
        <v>33</v>
      </c>
      <c r="Q15" s="366" t="s">
        <v>14</v>
      </c>
      <c r="R15" s="344" t="s">
        <v>37</v>
      </c>
      <c r="S15" s="12"/>
      <c r="T15" s="25" t="s">
        <v>14</v>
      </c>
      <c r="U15" s="25" t="s">
        <v>26</v>
      </c>
      <c r="V15" s="25" t="s">
        <v>12</v>
      </c>
      <c r="W15" s="366" t="s">
        <v>40</v>
      </c>
      <c r="X15" s="25" t="s">
        <v>30</v>
      </c>
      <c r="Y15" s="25" t="s">
        <v>32</v>
      </c>
      <c r="Z15" s="25" t="s">
        <v>35</v>
      </c>
      <c r="AA15" s="25" t="s">
        <v>39</v>
      </c>
      <c r="AB15" s="12"/>
      <c r="AC15" s="25" t="s">
        <v>32</v>
      </c>
      <c r="AD15" s="25" t="s">
        <v>38</v>
      </c>
      <c r="AE15" s="360" t="s">
        <v>31</v>
      </c>
      <c r="AF15" s="360" t="s">
        <v>33</v>
      </c>
      <c r="AG15" s="25" t="s">
        <v>12</v>
      </c>
      <c r="AH15" s="366" t="s">
        <v>14</v>
      </c>
      <c r="AI15" s="366" t="s">
        <v>29</v>
      </c>
      <c r="AJ15" s="344" t="s">
        <v>41</v>
      </c>
      <c r="AK15" s="12"/>
      <c r="AL15" s="25" t="s">
        <v>14</v>
      </c>
      <c r="AM15" s="25" t="s">
        <v>30</v>
      </c>
      <c r="AN15" s="366" t="s">
        <v>29</v>
      </c>
      <c r="AO15" s="25" t="s">
        <v>32</v>
      </c>
      <c r="AP15" s="25" t="s">
        <v>59</v>
      </c>
      <c r="AQ15" s="25" t="s">
        <v>36</v>
      </c>
      <c r="AR15" s="367" t="s">
        <v>12</v>
      </c>
      <c r="AT15" s="365">
        <f t="shared" ref="AT15:AT22" si="0">COUNTIF(B15:AR15,"语")</f>
        <v>6</v>
      </c>
      <c r="AU15" s="365">
        <f t="shared" ref="AU15:AU22" si="1">COUNTIF(B15:AR15,"数")</f>
        <v>5</v>
      </c>
      <c r="AV15" s="365">
        <f t="shared" ref="AV15:AV22" si="2">COUNTIF(B15:AR15,"英")</f>
        <v>5</v>
      </c>
      <c r="AW15" s="365">
        <f t="shared" ref="AW15:AW22" si="3">COUNTIF(B15:AR15,"政")</f>
        <v>2</v>
      </c>
      <c r="AX15" s="365">
        <f t="shared" ref="AX15:AX22" si="4">COUNTIF(B15:AR15,"历")</f>
        <v>2</v>
      </c>
      <c r="AY15" s="365">
        <f t="shared" ref="AY15:AY22" si="5">COUNTIF(B15:AR15,"地")</f>
        <v>3</v>
      </c>
      <c r="AZ15" s="365">
        <f t="shared" ref="AZ15:AZ22" si="6">COUNTIF(B15:AR15,"生")</f>
        <v>3</v>
      </c>
      <c r="BA15" s="365">
        <f t="shared" ref="BA15:BA22" si="7">COUNTIF(B15:AR15,"体")</f>
        <v>3</v>
      </c>
      <c r="BB15" s="365">
        <f t="shared" ref="BB15:BB22" si="8">COUNTIF(B15:AR15,"音")</f>
        <v>1</v>
      </c>
      <c r="BC15" s="365">
        <f t="shared" ref="BC15:BC22" si="9">COUNTIF(B15:AR15,"美")</f>
        <v>1</v>
      </c>
      <c r="BD15" s="365">
        <f t="shared" ref="BD15:BD22" si="10">COUNTIF(B15:AR15,"信")</f>
        <v>1</v>
      </c>
      <c r="BE15" s="365">
        <f t="shared" ref="BE15:BE22" si="11">COUNTIF(B15:AR15,"心综")</f>
        <v>1</v>
      </c>
      <c r="BF15" s="365">
        <f t="shared" ref="BF15:BF22" si="12">COUNTIF(B15:AR15,"班")</f>
        <v>1</v>
      </c>
      <c r="BG15" s="365">
        <f t="shared" ref="BG15:BG22" si="13">COUNTIF(B15:AR15,"劳")</f>
        <v>1</v>
      </c>
      <c r="BH15" s="365">
        <f t="shared" ref="BH15:BH22" si="14">COUNTIF(B15:AR15,"听说")</f>
        <v>1</v>
      </c>
      <c r="BI15" s="365">
        <f t="shared" ref="BI15:BI22" si="15">COUNTIF(B15:AR15,"综实")</f>
        <v>0</v>
      </c>
    </row>
    <row r="16" s="26" customFormat="1" ht="47.1" customHeight="1" spans="1:61">
      <c r="A16" s="343" t="s">
        <v>60</v>
      </c>
      <c r="B16" s="25" t="s">
        <v>36</v>
      </c>
      <c r="C16" s="25" t="s">
        <v>32</v>
      </c>
      <c r="D16" s="25" t="s">
        <v>43</v>
      </c>
      <c r="E16" s="25" t="s">
        <v>14</v>
      </c>
      <c r="F16" s="25" t="s">
        <v>12</v>
      </c>
      <c r="G16" s="25" t="s">
        <v>35</v>
      </c>
      <c r="H16" s="25" t="s">
        <v>38</v>
      </c>
      <c r="I16" s="360" t="s">
        <v>33</v>
      </c>
      <c r="J16" s="344" t="s">
        <v>34</v>
      </c>
      <c r="K16" s="25" t="s">
        <v>32</v>
      </c>
      <c r="L16" s="25" t="s">
        <v>59</v>
      </c>
      <c r="M16" s="25" t="s">
        <v>33</v>
      </c>
      <c r="N16" s="25" t="s">
        <v>12</v>
      </c>
      <c r="O16" s="25" t="s">
        <v>12</v>
      </c>
      <c r="P16" s="25" t="s">
        <v>14</v>
      </c>
      <c r="Q16" s="25" t="s">
        <v>29</v>
      </c>
      <c r="R16" s="344" t="s">
        <v>37</v>
      </c>
      <c r="S16" s="12"/>
      <c r="T16" s="25" t="s">
        <v>29</v>
      </c>
      <c r="U16" s="25" t="s">
        <v>12</v>
      </c>
      <c r="V16" s="25" t="s">
        <v>30</v>
      </c>
      <c r="W16" s="25" t="s">
        <v>14</v>
      </c>
      <c r="X16" s="25" t="s">
        <v>26</v>
      </c>
      <c r="Y16" s="344" t="s">
        <v>40</v>
      </c>
      <c r="Z16" s="25" t="s">
        <v>32</v>
      </c>
      <c r="AA16" s="25" t="s">
        <v>31</v>
      </c>
      <c r="AB16" s="37"/>
      <c r="AC16" s="25" t="s">
        <v>12</v>
      </c>
      <c r="AD16" s="25" t="s">
        <v>14</v>
      </c>
      <c r="AE16" s="25" t="s">
        <v>36</v>
      </c>
      <c r="AF16" s="25" t="s">
        <v>32</v>
      </c>
      <c r="AG16" s="25" t="s">
        <v>33</v>
      </c>
      <c r="AH16" s="25" t="s">
        <v>35</v>
      </c>
      <c r="AI16" s="25" t="s">
        <v>30</v>
      </c>
      <c r="AJ16" s="344" t="s">
        <v>41</v>
      </c>
      <c r="AK16" s="37"/>
      <c r="AL16" s="25" t="s">
        <v>59</v>
      </c>
      <c r="AM16" s="25" t="s">
        <v>32</v>
      </c>
      <c r="AN16" s="25" t="s">
        <v>39</v>
      </c>
      <c r="AO16" s="25" t="s">
        <v>14</v>
      </c>
      <c r="AP16" s="25" t="s">
        <v>29</v>
      </c>
      <c r="AQ16" s="12" t="s">
        <v>12</v>
      </c>
      <c r="AR16" s="360" t="s">
        <v>30</v>
      </c>
      <c r="AT16" s="365">
        <f t="shared" si="0"/>
        <v>6</v>
      </c>
      <c r="AU16" s="365">
        <f t="shared" si="1"/>
        <v>5</v>
      </c>
      <c r="AV16" s="365">
        <f t="shared" si="2"/>
        <v>5</v>
      </c>
      <c r="AW16" s="365">
        <f t="shared" si="3"/>
        <v>2</v>
      </c>
      <c r="AX16" s="365">
        <f t="shared" si="4"/>
        <v>2</v>
      </c>
      <c r="AY16" s="365">
        <f t="shared" si="5"/>
        <v>3</v>
      </c>
      <c r="AZ16" s="365">
        <f t="shared" si="6"/>
        <v>3</v>
      </c>
      <c r="BA16" s="365">
        <f t="shared" si="7"/>
        <v>3</v>
      </c>
      <c r="BB16" s="365">
        <f t="shared" si="8"/>
        <v>1</v>
      </c>
      <c r="BC16" s="365">
        <f t="shared" si="9"/>
        <v>1</v>
      </c>
      <c r="BD16" s="365">
        <f t="shared" si="10"/>
        <v>1</v>
      </c>
      <c r="BE16" s="365">
        <f t="shared" si="11"/>
        <v>1</v>
      </c>
      <c r="BF16" s="365">
        <f t="shared" si="12"/>
        <v>1</v>
      </c>
      <c r="BG16" s="365">
        <f t="shared" si="13"/>
        <v>1</v>
      </c>
      <c r="BH16" s="365">
        <f t="shared" si="14"/>
        <v>1</v>
      </c>
      <c r="BI16" s="365">
        <f t="shared" si="15"/>
        <v>0</v>
      </c>
    </row>
    <row r="17" s="26" customFormat="1" ht="47.1" customHeight="1" spans="1:61">
      <c r="A17" s="343" t="s">
        <v>61</v>
      </c>
      <c r="B17" s="25" t="s">
        <v>14</v>
      </c>
      <c r="C17" s="25" t="s">
        <v>35</v>
      </c>
      <c r="D17" s="25" t="s">
        <v>32</v>
      </c>
      <c r="E17" s="25" t="s">
        <v>12</v>
      </c>
      <c r="F17" s="25" t="s">
        <v>33</v>
      </c>
      <c r="G17" s="25" t="s">
        <v>29</v>
      </c>
      <c r="H17" s="25" t="s">
        <v>30</v>
      </c>
      <c r="I17" s="360" t="s">
        <v>40</v>
      </c>
      <c r="J17" s="344" t="s">
        <v>34</v>
      </c>
      <c r="K17" s="25" t="s">
        <v>12</v>
      </c>
      <c r="L17" s="25" t="s">
        <v>12</v>
      </c>
      <c r="M17" s="25" t="s">
        <v>14</v>
      </c>
      <c r="N17" s="25" t="s">
        <v>62</v>
      </c>
      <c r="O17" s="25" t="s">
        <v>32</v>
      </c>
      <c r="P17" s="360" t="s">
        <v>38</v>
      </c>
      <c r="Q17" s="25" t="s">
        <v>43</v>
      </c>
      <c r="R17" s="344" t="s">
        <v>37</v>
      </c>
      <c r="S17" s="25"/>
      <c r="T17" s="25" t="s">
        <v>39</v>
      </c>
      <c r="U17" s="25" t="s">
        <v>29</v>
      </c>
      <c r="V17" s="25" t="s">
        <v>12</v>
      </c>
      <c r="W17" s="25" t="s">
        <v>14</v>
      </c>
      <c r="X17" s="25" t="s">
        <v>30</v>
      </c>
      <c r="Y17" s="25" t="s">
        <v>32</v>
      </c>
      <c r="Z17" s="25" t="s">
        <v>33</v>
      </c>
      <c r="AA17" s="25" t="s">
        <v>36</v>
      </c>
      <c r="AB17" s="25"/>
      <c r="AC17" s="25" t="s">
        <v>32</v>
      </c>
      <c r="AD17" s="25" t="s">
        <v>62</v>
      </c>
      <c r="AE17" s="25" t="s">
        <v>12</v>
      </c>
      <c r="AF17" s="25" t="s">
        <v>26</v>
      </c>
      <c r="AG17" s="25" t="s">
        <v>14</v>
      </c>
      <c r="AH17" s="25" t="s">
        <v>31</v>
      </c>
      <c r="AI17" s="25" t="s">
        <v>35</v>
      </c>
      <c r="AJ17" s="344" t="s">
        <v>41</v>
      </c>
      <c r="AK17" s="12"/>
      <c r="AL17" s="25" t="s">
        <v>32</v>
      </c>
      <c r="AM17" s="25" t="s">
        <v>29</v>
      </c>
      <c r="AN17" s="369" t="s">
        <v>30</v>
      </c>
      <c r="AO17" s="369" t="s">
        <v>33</v>
      </c>
      <c r="AP17" s="369" t="s">
        <v>14</v>
      </c>
      <c r="AQ17" s="368" t="s">
        <v>36</v>
      </c>
      <c r="AR17" s="366" t="s">
        <v>12</v>
      </c>
      <c r="AT17" s="365">
        <f t="shared" si="0"/>
        <v>6</v>
      </c>
      <c r="AU17" s="365">
        <f t="shared" si="1"/>
        <v>5</v>
      </c>
      <c r="AV17" s="365">
        <f t="shared" si="2"/>
        <v>5</v>
      </c>
      <c r="AW17" s="365">
        <f t="shared" si="3"/>
        <v>2</v>
      </c>
      <c r="AX17" s="365">
        <f t="shared" si="4"/>
        <v>2</v>
      </c>
      <c r="AY17" s="365">
        <f t="shared" si="5"/>
        <v>3</v>
      </c>
      <c r="AZ17" s="365">
        <f t="shared" si="6"/>
        <v>3</v>
      </c>
      <c r="BA17" s="365">
        <f t="shared" si="7"/>
        <v>3</v>
      </c>
      <c r="BB17" s="365">
        <f t="shared" si="8"/>
        <v>1</v>
      </c>
      <c r="BC17" s="365">
        <f t="shared" si="9"/>
        <v>1</v>
      </c>
      <c r="BD17" s="365">
        <f t="shared" si="10"/>
        <v>1</v>
      </c>
      <c r="BE17" s="365">
        <f t="shared" si="11"/>
        <v>1</v>
      </c>
      <c r="BF17" s="365">
        <f t="shared" si="12"/>
        <v>1</v>
      </c>
      <c r="BG17" s="365">
        <f t="shared" si="13"/>
        <v>1</v>
      </c>
      <c r="BH17" s="365">
        <f t="shared" si="14"/>
        <v>1</v>
      </c>
      <c r="BI17" s="365">
        <f t="shared" si="15"/>
        <v>0</v>
      </c>
    </row>
    <row r="18" s="26" customFormat="1" ht="47.1" customHeight="1" spans="1:61">
      <c r="A18" s="343" t="s">
        <v>63</v>
      </c>
      <c r="B18" s="25" t="s">
        <v>40</v>
      </c>
      <c r="C18" s="25" t="s">
        <v>32</v>
      </c>
      <c r="D18" s="25" t="s">
        <v>36</v>
      </c>
      <c r="E18" s="25" t="s">
        <v>29</v>
      </c>
      <c r="F18" s="25" t="s">
        <v>12</v>
      </c>
      <c r="G18" s="25" t="s">
        <v>14</v>
      </c>
      <c r="H18" s="25" t="s">
        <v>33</v>
      </c>
      <c r="I18" s="360" t="s">
        <v>30</v>
      </c>
      <c r="J18" s="344" t="s">
        <v>34</v>
      </c>
      <c r="K18" s="25" t="s">
        <v>32</v>
      </c>
      <c r="L18" s="25" t="s">
        <v>62</v>
      </c>
      <c r="M18" s="25" t="s">
        <v>35</v>
      </c>
      <c r="N18" s="25" t="s">
        <v>12</v>
      </c>
      <c r="O18" s="25" t="s">
        <v>12</v>
      </c>
      <c r="P18" s="25" t="s">
        <v>29</v>
      </c>
      <c r="Q18" s="25" t="s">
        <v>14</v>
      </c>
      <c r="R18" s="344" t="s">
        <v>37</v>
      </c>
      <c r="S18" s="12"/>
      <c r="T18" s="25" t="s">
        <v>14</v>
      </c>
      <c r="U18" s="25" t="s">
        <v>26</v>
      </c>
      <c r="V18" s="25" t="s">
        <v>36</v>
      </c>
      <c r="W18" s="25" t="s">
        <v>12</v>
      </c>
      <c r="X18" s="12" t="s">
        <v>39</v>
      </c>
      <c r="Y18" s="25" t="s">
        <v>33</v>
      </c>
      <c r="Z18" s="25" t="s">
        <v>32</v>
      </c>
      <c r="AA18" s="25" t="s">
        <v>30</v>
      </c>
      <c r="AB18" s="37"/>
      <c r="AC18" s="25" t="s">
        <v>12</v>
      </c>
      <c r="AD18" s="25" t="s">
        <v>14</v>
      </c>
      <c r="AE18" s="25" t="s">
        <v>35</v>
      </c>
      <c r="AF18" s="25" t="s">
        <v>30</v>
      </c>
      <c r="AG18" s="25" t="s">
        <v>38</v>
      </c>
      <c r="AH18" s="25" t="s">
        <v>32</v>
      </c>
      <c r="AI18" s="25" t="s">
        <v>62</v>
      </c>
      <c r="AJ18" s="344" t="s">
        <v>41</v>
      </c>
      <c r="AK18" s="25"/>
      <c r="AL18" s="25" t="s">
        <v>29</v>
      </c>
      <c r="AM18" s="360" t="s">
        <v>31</v>
      </c>
      <c r="AN18" s="25" t="s">
        <v>32</v>
      </c>
      <c r="AO18" s="369" t="s">
        <v>14</v>
      </c>
      <c r="AP18" s="366" t="s">
        <v>43</v>
      </c>
      <c r="AQ18" s="366" t="s">
        <v>12</v>
      </c>
      <c r="AR18" s="366" t="s">
        <v>33</v>
      </c>
      <c r="AT18" s="365">
        <f>COUNTIF(B18:AQ18,"语")</f>
        <v>6</v>
      </c>
      <c r="AU18" s="365">
        <f>COUNTIF(B18:AQ18,"数")</f>
        <v>5</v>
      </c>
      <c r="AV18" s="365">
        <f>COUNTIF(B18:AQ18,"英")</f>
        <v>5</v>
      </c>
      <c r="AW18" s="365">
        <f>COUNTIF(B18:AQ18,"政")</f>
        <v>2</v>
      </c>
      <c r="AX18" s="365">
        <f>COUNTIF(B18:AQ18,"历")</f>
        <v>2</v>
      </c>
      <c r="AY18" s="365">
        <f>COUNTIF(B18:AQ18,"地")</f>
        <v>3</v>
      </c>
      <c r="AZ18" s="365">
        <f>COUNTIF(B18:AQ18,"生")</f>
        <v>2</v>
      </c>
      <c r="BA18" s="365">
        <f>COUNTIF(B18:AQ18,"体")</f>
        <v>3</v>
      </c>
      <c r="BB18" s="365">
        <f>COUNTIF(B18:AQ18,"音")</f>
        <v>1</v>
      </c>
      <c r="BC18" s="365">
        <f>COUNTIF(B18:AQ18,"美")</f>
        <v>1</v>
      </c>
      <c r="BD18" s="365">
        <f>COUNTIF(B18:AQ18,"信")</f>
        <v>1</v>
      </c>
      <c r="BE18" s="365">
        <f>COUNTIF(B18:AQ18,"心综")</f>
        <v>1</v>
      </c>
      <c r="BF18" s="365">
        <f>COUNTIF(B18:AQ18,"班")</f>
        <v>1</v>
      </c>
      <c r="BG18" s="365">
        <f>COUNTIF(B18:AQ18,"劳")</f>
        <v>1</v>
      </c>
      <c r="BH18" s="365">
        <f>COUNTIF(B18:AQ18,"听说")</f>
        <v>1</v>
      </c>
      <c r="BI18" s="365">
        <f>COUNTIF(B18:AQ18,"综实")</f>
        <v>0</v>
      </c>
    </row>
    <row r="19" s="26" customFormat="1" ht="47.1" customHeight="1" spans="1:61">
      <c r="A19" s="343" t="s">
        <v>64</v>
      </c>
      <c r="B19" s="25" t="s">
        <v>32</v>
      </c>
      <c r="C19" s="25" t="s">
        <v>29</v>
      </c>
      <c r="D19" s="25" t="s">
        <v>14</v>
      </c>
      <c r="E19" s="25" t="s">
        <v>39</v>
      </c>
      <c r="F19" s="25" t="s">
        <v>12</v>
      </c>
      <c r="G19" s="25" t="s">
        <v>30</v>
      </c>
      <c r="H19" s="360" t="s">
        <v>31</v>
      </c>
      <c r="I19" s="363" t="s">
        <v>43</v>
      </c>
      <c r="J19" s="344" t="s">
        <v>34</v>
      </c>
      <c r="K19" s="25" t="s">
        <v>12</v>
      </c>
      <c r="L19" s="360" t="s">
        <v>36</v>
      </c>
      <c r="M19" s="25" t="s">
        <v>33</v>
      </c>
      <c r="N19" s="25" t="s">
        <v>65</v>
      </c>
      <c r="O19" s="25" t="s">
        <v>32</v>
      </c>
      <c r="P19" s="25" t="s">
        <v>35</v>
      </c>
      <c r="Q19" s="25" t="s">
        <v>14</v>
      </c>
      <c r="R19" s="344" t="s">
        <v>37</v>
      </c>
      <c r="S19" s="12"/>
      <c r="T19" s="25" t="s">
        <v>14</v>
      </c>
      <c r="U19" s="25" t="s">
        <v>26</v>
      </c>
      <c r="V19" s="25" t="s">
        <v>29</v>
      </c>
      <c r="W19" s="25" t="s">
        <v>12</v>
      </c>
      <c r="X19" s="25" t="s">
        <v>12</v>
      </c>
      <c r="Y19" s="25" t="s">
        <v>30</v>
      </c>
      <c r="Z19" s="25" t="s">
        <v>33</v>
      </c>
      <c r="AA19" s="25" t="s">
        <v>32</v>
      </c>
      <c r="AB19" s="12"/>
      <c r="AC19" s="25" t="s">
        <v>36</v>
      </c>
      <c r="AD19" s="25" t="s">
        <v>32</v>
      </c>
      <c r="AE19" s="25" t="s">
        <v>66</v>
      </c>
      <c r="AF19" s="25" t="s">
        <v>12</v>
      </c>
      <c r="AG19" s="25" t="s">
        <v>30</v>
      </c>
      <c r="AH19" s="25" t="s">
        <v>14</v>
      </c>
      <c r="AI19" s="25" t="s">
        <v>29</v>
      </c>
      <c r="AJ19" s="344" t="s">
        <v>41</v>
      </c>
      <c r="AK19" s="12"/>
      <c r="AL19" s="25" t="s">
        <v>14</v>
      </c>
      <c r="AM19" s="25" t="s">
        <v>35</v>
      </c>
      <c r="AN19" s="25" t="s">
        <v>38</v>
      </c>
      <c r="AO19" s="25" t="s">
        <v>32</v>
      </c>
      <c r="AP19" s="363" t="s">
        <v>40</v>
      </c>
      <c r="AQ19" s="360" t="s">
        <v>33</v>
      </c>
      <c r="AR19" s="25" t="s">
        <v>12</v>
      </c>
      <c r="AT19" s="365">
        <f t="shared" si="0"/>
        <v>6</v>
      </c>
      <c r="AU19" s="365">
        <f t="shared" si="1"/>
        <v>5</v>
      </c>
      <c r="AV19" s="365">
        <f t="shared" si="2"/>
        <v>5</v>
      </c>
      <c r="AW19" s="365">
        <f t="shared" si="3"/>
        <v>2</v>
      </c>
      <c r="AX19" s="365">
        <f t="shared" si="4"/>
        <v>2</v>
      </c>
      <c r="AY19" s="365">
        <f t="shared" si="5"/>
        <v>3</v>
      </c>
      <c r="AZ19" s="365">
        <f t="shared" si="6"/>
        <v>3</v>
      </c>
      <c r="BA19" s="365">
        <f t="shared" si="7"/>
        <v>3</v>
      </c>
      <c r="BB19" s="365">
        <f t="shared" si="8"/>
        <v>1</v>
      </c>
      <c r="BC19" s="365">
        <f t="shared" si="9"/>
        <v>1</v>
      </c>
      <c r="BD19" s="365">
        <f t="shared" si="10"/>
        <v>1</v>
      </c>
      <c r="BE19" s="365">
        <f t="shared" si="11"/>
        <v>1</v>
      </c>
      <c r="BF19" s="365">
        <f t="shared" si="12"/>
        <v>1</v>
      </c>
      <c r="BG19" s="365">
        <f t="shared" si="13"/>
        <v>1</v>
      </c>
      <c r="BH19" s="365">
        <f t="shared" si="14"/>
        <v>1</v>
      </c>
      <c r="BI19" s="365">
        <f t="shared" si="15"/>
        <v>0</v>
      </c>
    </row>
    <row r="20" s="26" customFormat="1" ht="47.1" customHeight="1" spans="1:61">
      <c r="A20" s="343" t="s">
        <v>67</v>
      </c>
      <c r="B20" s="25" t="s">
        <v>35</v>
      </c>
      <c r="C20" s="25" t="s">
        <v>14</v>
      </c>
      <c r="D20" s="25" t="s">
        <v>32</v>
      </c>
      <c r="E20" s="25" t="s">
        <v>12</v>
      </c>
      <c r="F20" s="25" t="s">
        <v>30</v>
      </c>
      <c r="G20" s="25" t="s">
        <v>33</v>
      </c>
      <c r="H20" s="362" t="s">
        <v>40</v>
      </c>
      <c r="I20" s="360" t="s">
        <v>29</v>
      </c>
      <c r="J20" s="344" t="s">
        <v>34</v>
      </c>
      <c r="K20" s="25" t="s">
        <v>32</v>
      </c>
      <c r="L20" s="25" t="s">
        <v>66</v>
      </c>
      <c r="M20" s="25" t="s">
        <v>31</v>
      </c>
      <c r="N20" s="25" t="s">
        <v>12</v>
      </c>
      <c r="O20" s="25" t="s">
        <v>14</v>
      </c>
      <c r="P20" s="25" t="s">
        <v>33</v>
      </c>
      <c r="Q20" s="25" t="s">
        <v>36</v>
      </c>
      <c r="R20" s="344" t="s">
        <v>37</v>
      </c>
      <c r="S20" s="37"/>
      <c r="T20" s="25" t="s">
        <v>29</v>
      </c>
      <c r="U20" s="25" t="s">
        <v>43</v>
      </c>
      <c r="V20" s="25" t="s">
        <v>30</v>
      </c>
      <c r="W20" s="25" t="s">
        <v>26</v>
      </c>
      <c r="X20" s="25" t="s">
        <v>14</v>
      </c>
      <c r="Y20" s="25" t="s">
        <v>32</v>
      </c>
      <c r="Z20" s="25" t="s">
        <v>12</v>
      </c>
      <c r="AA20" s="25" t="s">
        <v>12</v>
      </c>
      <c r="AB20" s="12"/>
      <c r="AC20" s="25" t="s">
        <v>12</v>
      </c>
      <c r="AD20" s="25" t="s">
        <v>14</v>
      </c>
      <c r="AE20" s="25" t="s">
        <v>35</v>
      </c>
      <c r="AF20" s="25" t="s">
        <v>33</v>
      </c>
      <c r="AG20" s="25" t="s">
        <v>29</v>
      </c>
      <c r="AH20" s="25" t="s">
        <v>32</v>
      </c>
      <c r="AI20" s="25" t="s">
        <v>66</v>
      </c>
      <c r="AJ20" s="344" t="s">
        <v>41</v>
      </c>
      <c r="AK20" s="12"/>
      <c r="AL20" s="25" t="s">
        <v>38</v>
      </c>
      <c r="AM20" s="25" t="s">
        <v>39</v>
      </c>
      <c r="AN20" s="25" t="s">
        <v>14</v>
      </c>
      <c r="AO20" s="25" t="s">
        <v>30</v>
      </c>
      <c r="AP20" s="25" t="s">
        <v>32</v>
      </c>
      <c r="AQ20" s="12" t="s">
        <v>12</v>
      </c>
      <c r="AR20" s="25" t="s">
        <v>36</v>
      </c>
      <c r="AT20" s="365">
        <f t="shared" si="0"/>
        <v>6</v>
      </c>
      <c r="AU20" s="365">
        <f t="shared" si="1"/>
        <v>5</v>
      </c>
      <c r="AV20" s="365">
        <f t="shared" si="2"/>
        <v>5</v>
      </c>
      <c r="AW20" s="365">
        <f t="shared" si="3"/>
        <v>2</v>
      </c>
      <c r="AX20" s="365">
        <f t="shared" si="4"/>
        <v>2</v>
      </c>
      <c r="AY20" s="365">
        <f t="shared" si="5"/>
        <v>3</v>
      </c>
      <c r="AZ20" s="365">
        <f t="shared" si="6"/>
        <v>3</v>
      </c>
      <c r="BA20" s="365">
        <f t="shared" si="7"/>
        <v>3</v>
      </c>
      <c r="BB20" s="365">
        <f t="shared" si="8"/>
        <v>1</v>
      </c>
      <c r="BC20" s="365">
        <f t="shared" si="9"/>
        <v>1</v>
      </c>
      <c r="BD20" s="365">
        <f t="shared" si="10"/>
        <v>1</v>
      </c>
      <c r="BE20" s="365">
        <f t="shared" si="11"/>
        <v>1</v>
      </c>
      <c r="BF20" s="365">
        <f t="shared" si="12"/>
        <v>1</v>
      </c>
      <c r="BG20" s="365">
        <f t="shared" si="13"/>
        <v>1</v>
      </c>
      <c r="BH20" s="365">
        <f t="shared" si="14"/>
        <v>1</v>
      </c>
      <c r="BI20" s="365">
        <f t="shared" si="15"/>
        <v>0</v>
      </c>
    </row>
    <row r="21" s="26" customFormat="1" ht="47.1" customHeight="1" spans="1:61">
      <c r="A21" s="343" t="s">
        <v>68</v>
      </c>
      <c r="B21" s="25" t="s">
        <v>12</v>
      </c>
      <c r="C21" s="25" t="s">
        <v>32</v>
      </c>
      <c r="D21" s="25" t="s">
        <v>35</v>
      </c>
      <c r="E21" s="25" t="s">
        <v>36</v>
      </c>
      <c r="F21" s="25" t="s">
        <v>14</v>
      </c>
      <c r="G21" s="25" t="s">
        <v>29</v>
      </c>
      <c r="H21" s="12" t="s">
        <v>33</v>
      </c>
      <c r="I21" s="362" t="s">
        <v>30</v>
      </c>
      <c r="J21" s="344" t="s">
        <v>34</v>
      </c>
      <c r="K21" s="25" t="s">
        <v>32</v>
      </c>
      <c r="L21" s="25" t="s">
        <v>69</v>
      </c>
      <c r="M21" s="25" t="s">
        <v>29</v>
      </c>
      <c r="N21" s="25" t="s">
        <v>12</v>
      </c>
      <c r="O21" s="25" t="s">
        <v>12</v>
      </c>
      <c r="P21" s="25" t="s">
        <v>38</v>
      </c>
      <c r="Q21" s="25" t="s">
        <v>14</v>
      </c>
      <c r="R21" s="344" t="s">
        <v>37</v>
      </c>
      <c r="S21" s="37"/>
      <c r="T21" s="25" t="s">
        <v>43</v>
      </c>
      <c r="U21" s="25" t="s">
        <v>36</v>
      </c>
      <c r="V21" s="25" t="s">
        <v>12</v>
      </c>
      <c r="W21" s="25" t="s">
        <v>14</v>
      </c>
      <c r="X21" s="25" t="s">
        <v>26</v>
      </c>
      <c r="Y21" s="25" t="s">
        <v>35</v>
      </c>
      <c r="Z21" s="25" t="s">
        <v>30</v>
      </c>
      <c r="AA21" s="25" t="s">
        <v>32</v>
      </c>
      <c r="AB21" s="37"/>
      <c r="AC21" s="25" t="s">
        <v>12</v>
      </c>
      <c r="AD21" s="25" t="s">
        <v>30</v>
      </c>
      <c r="AE21" s="25" t="s">
        <v>14</v>
      </c>
      <c r="AF21" s="25" t="s">
        <v>32</v>
      </c>
      <c r="AG21" s="25" t="s">
        <v>69</v>
      </c>
      <c r="AH21" s="25" t="s">
        <v>31</v>
      </c>
      <c r="AI21" s="25" t="s">
        <v>33</v>
      </c>
      <c r="AJ21" s="344" t="s">
        <v>41</v>
      </c>
      <c r="AK21" s="37"/>
      <c r="AL21" s="25" t="s">
        <v>14</v>
      </c>
      <c r="AM21" s="25" t="s">
        <v>33</v>
      </c>
      <c r="AN21" s="25" t="s">
        <v>32</v>
      </c>
      <c r="AO21" s="25" t="s">
        <v>29</v>
      </c>
      <c r="AP21" s="25" t="s">
        <v>40</v>
      </c>
      <c r="AQ21" s="25" t="s">
        <v>39</v>
      </c>
      <c r="AR21" s="25" t="s">
        <v>12</v>
      </c>
      <c r="AT21" s="365">
        <f t="shared" si="0"/>
        <v>6</v>
      </c>
      <c r="AU21" s="365">
        <f t="shared" si="1"/>
        <v>5</v>
      </c>
      <c r="AV21" s="365">
        <f t="shared" si="2"/>
        <v>5</v>
      </c>
      <c r="AW21" s="365">
        <f t="shared" si="3"/>
        <v>2</v>
      </c>
      <c r="AX21" s="365">
        <f t="shared" si="4"/>
        <v>2</v>
      </c>
      <c r="AY21" s="365">
        <f t="shared" si="5"/>
        <v>3</v>
      </c>
      <c r="AZ21" s="365">
        <f t="shared" si="6"/>
        <v>3</v>
      </c>
      <c r="BA21" s="365">
        <f t="shared" si="7"/>
        <v>3</v>
      </c>
      <c r="BB21" s="365">
        <f t="shared" si="8"/>
        <v>1</v>
      </c>
      <c r="BC21" s="365">
        <f t="shared" si="9"/>
        <v>1</v>
      </c>
      <c r="BD21" s="365">
        <f t="shared" si="10"/>
        <v>1</v>
      </c>
      <c r="BE21" s="365">
        <f t="shared" si="11"/>
        <v>1</v>
      </c>
      <c r="BF21" s="365">
        <f t="shared" si="12"/>
        <v>1</v>
      </c>
      <c r="BG21" s="365">
        <f t="shared" si="13"/>
        <v>1</v>
      </c>
      <c r="BH21" s="365">
        <f t="shared" si="14"/>
        <v>1</v>
      </c>
      <c r="BI21" s="365">
        <f t="shared" si="15"/>
        <v>0</v>
      </c>
    </row>
    <row r="22" s="26" customFormat="1" ht="47.1" customHeight="1" spans="1:61">
      <c r="A22" s="343" t="s">
        <v>70</v>
      </c>
      <c r="B22" s="25" t="s">
        <v>33</v>
      </c>
      <c r="C22" s="25" t="s">
        <v>14</v>
      </c>
      <c r="D22" s="25" t="s">
        <v>12</v>
      </c>
      <c r="E22" s="25" t="s">
        <v>29</v>
      </c>
      <c r="F22" s="12" t="s">
        <v>32</v>
      </c>
      <c r="G22" s="25" t="s">
        <v>30</v>
      </c>
      <c r="H22" s="25" t="s">
        <v>38</v>
      </c>
      <c r="I22" s="360" t="s">
        <v>31</v>
      </c>
      <c r="J22" s="344" t="s">
        <v>34</v>
      </c>
      <c r="K22" s="25" t="s">
        <v>12</v>
      </c>
      <c r="L22" s="25" t="s">
        <v>12</v>
      </c>
      <c r="M22" s="25" t="s">
        <v>35</v>
      </c>
      <c r="N22" s="25" t="s">
        <v>32</v>
      </c>
      <c r="O22" s="25" t="s">
        <v>69</v>
      </c>
      <c r="P22" s="25" t="s">
        <v>14</v>
      </c>
      <c r="Q22" s="25" t="s">
        <v>30</v>
      </c>
      <c r="R22" s="344" t="s">
        <v>37</v>
      </c>
      <c r="S22" s="12"/>
      <c r="T22" s="25" t="s">
        <v>14</v>
      </c>
      <c r="U22" s="25" t="s">
        <v>26</v>
      </c>
      <c r="V22" s="25" t="s">
        <v>29</v>
      </c>
      <c r="W22" s="25" t="s">
        <v>12</v>
      </c>
      <c r="X22" s="25" t="s">
        <v>40</v>
      </c>
      <c r="Y22" s="25" t="s">
        <v>32</v>
      </c>
      <c r="Z22" s="25" t="s">
        <v>36</v>
      </c>
      <c r="AA22" s="25" t="s">
        <v>30</v>
      </c>
      <c r="AB22" s="37"/>
      <c r="AC22" s="25" t="s">
        <v>32</v>
      </c>
      <c r="AD22" s="25" t="s">
        <v>69</v>
      </c>
      <c r="AE22" s="25" t="s">
        <v>12</v>
      </c>
      <c r="AF22" s="25" t="s">
        <v>29</v>
      </c>
      <c r="AG22" s="25" t="s">
        <v>14</v>
      </c>
      <c r="AH22" s="25" t="s">
        <v>33</v>
      </c>
      <c r="AI22" s="25" t="s">
        <v>39</v>
      </c>
      <c r="AJ22" s="344" t="s">
        <v>41</v>
      </c>
      <c r="AK22" s="25"/>
      <c r="AL22" s="25" t="s">
        <v>35</v>
      </c>
      <c r="AM22" s="362" t="s">
        <v>43</v>
      </c>
      <c r="AN22" s="25" t="s">
        <v>33</v>
      </c>
      <c r="AO22" s="25" t="s">
        <v>14</v>
      </c>
      <c r="AP22" s="25" t="s">
        <v>32</v>
      </c>
      <c r="AQ22" s="25" t="s">
        <v>12</v>
      </c>
      <c r="AR22" s="25" t="s">
        <v>36</v>
      </c>
      <c r="AT22" s="365">
        <f t="shared" si="0"/>
        <v>6</v>
      </c>
      <c r="AU22" s="365">
        <f t="shared" si="1"/>
        <v>5</v>
      </c>
      <c r="AV22" s="365">
        <f t="shared" si="2"/>
        <v>5</v>
      </c>
      <c r="AW22" s="365">
        <f t="shared" si="3"/>
        <v>2</v>
      </c>
      <c r="AX22" s="365">
        <f t="shared" si="4"/>
        <v>2</v>
      </c>
      <c r="AY22" s="365">
        <f t="shared" si="5"/>
        <v>3</v>
      </c>
      <c r="AZ22" s="365">
        <f t="shared" si="6"/>
        <v>3</v>
      </c>
      <c r="BA22" s="365">
        <f t="shared" si="7"/>
        <v>3</v>
      </c>
      <c r="BB22" s="365">
        <f t="shared" si="8"/>
        <v>1</v>
      </c>
      <c r="BC22" s="365">
        <f t="shared" si="9"/>
        <v>1</v>
      </c>
      <c r="BD22" s="365">
        <f t="shared" si="10"/>
        <v>1</v>
      </c>
      <c r="BE22" s="365">
        <f t="shared" si="11"/>
        <v>1</v>
      </c>
      <c r="BF22" s="365">
        <f t="shared" si="12"/>
        <v>1</v>
      </c>
      <c r="BG22" s="365">
        <f t="shared" si="13"/>
        <v>1</v>
      </c>
      <c r="BH22" s="365">
        <f t="shared" si="14"/>
        <v>1</v>
      </c>
      <c r="BI22" s="365">
        <f t="shared" si="15"/>
        <v>0</v>
      </c>
    </row>
    <row r="23" s="7" customFormat="1" ht="47.1" customHeight="1" spans="1:61">
      <c r="A23" s="343" t="s">
        <v>71</v>
      </c>
      <c r="B23" s="25" t="s">
        <v>14</v>
      </c>
      <c r="C23" s="25" t="s">
        <v>32</v>
      </c>
      <c r="D23" s="25" t="s">
        <v>36</v>
      </c>
      <c r="E23" s="25" t="s">
        <v>30</v>
      </c>
      <c r="F23" s="25" t="s">
        <v>12</v>
      </c>
      <c r="G23" s="25" t="s">
        <v>33</v>
      </c>
      <c r="H23" s="25" t="s">
        <v>43</v>
      </c>
      <c r="I23" s="360" t="s">
        <v>39</v>
      </c>
      <c r="J23" s="344" t="s">
        <v>34</v>
      </c>
      <c r="K23" s="25" t="s">
        <v>29</v>
      </c>
      <c r="L23" s="25" t="s">
        <v>12</v>
      </c>
      <c r="M23" s="25" t="s">
        <v>12</v>
      </c>
      <c r="N23" s="25" t="s">
        <v>35</v>
      </c>
      <c r="O23" s="25" t="s">
        <v>14</v>
      </c>
      <c r="P23" s="25" t="s">
        <v>32</v>
      </c>
      <c r="Q23" s="25" t="s">
        <v>72</v>
      </c>
      <c r="R23" s="344" t="s">
        <v>37</v>
      </c>
      <c r="S23" s="12"/>
      <c r="T23" s="25" t="s">
        <v>29</v>
      </c>
      <c r="U23" s="25" t="s">
        <v>12</v>
      </c>
      <c r="V23" s="25" t="s">
        <v>30</v>
      </c>
      <c r="W23" s="25" t="s">
        <v>14</v>
      </c>
      <c r="X23" s="25" t="s">
        <v>26</v>
      </c>
      <c r="Y23" s="25" t="s">
        <v>32</v>
      </c>
      <c r="Z23" s="25" t="s">
        <v>33</v>
      </c>
      <c r="AA23" s="25" t="s">
        <v>40</v>
      </c>
      <c r="AB23" s="12"/>
      <c r="AC23" s="25" t="s">
        <v>32</v>
      </c>
      <c r="AD23" s="25" t="s">
        <v>14</v>
      </c>
      <c r="AE23" s="25" t="s">
        <v>38</v>
      </c>
      <c r="AF23" s="25" t="s">
        <v>12</v>
      </c>
      <c r="AG23" s="360" t="s">
        <v>35</v>
      </c>
      <c r="AH23" s="25" t="s">
        <v>30</v>
      </c>
      <c r="AI23" s="25" t="s">
        <v>36</v>
      </c>
      <c r="AJ23" s="344" t="s">
        <v>41</v>
      </c>
      <c r="AK23" s="12"/>
      <c r="AL23" s="25" t="s">
        <v>31</v>
      </c>
      <c r="AM23" s="360" t="s">
        <v>33</v>
      </c>
      <c r="AN23" s="360" t="s">
        <v>14</v>
      </c>
      <c r="AO23" s="360" t="s">
        <v>32</v>
      </c>
      <c r="AP23" s="360" t="s">
        <v>72</v>
      </c>
      <c r="AQ23" s="344" t="s">
        <v>12</v>
      </c>
      <c r="AR23" s="25" t="s">
        <v>29</v>
      </c>
      <c r="AT23" s="365">
        <f>COUNTIF(B23:AQ23,"语")</f>
        <v>6</v>
      </c>
      <c r="AU23" s="365">
        <f>COUNTIF(B23:AQ23,"数")</f>
        <v>5</v>
      </c>
      <c r="AV23" s="365">
        <f>COUNTIF(B23:AQ23,"英")</f>
        <v>5</v>
      </c>
      <c r="AW23" s="365">
        <f>COUNTIF(B23:AQ23,"政")</f>
        <v>2</v>
      </c>
      <c r="AX23" s="365">
        <f>COUNTIF(B23:AQ23,"历")</f>
        <v>2</v>
      </c>
      <c r="AY23" s="365">
        <f>COUNTIF(B23:AQ23,"地")</f>
        <v>2</v>
      </c>
      <c r="AZ23" s="365">
        <f>COUNTIF(B23:AQ23,"生")</f>
        <v>3</v>
      </c>
      <c r="BA23" s="365">
        <f>COUNTIF(B23:AQ23,"体")</f>
        <v>3</v>
      </c>
      <c r="BB23" s="365">
        <f>COUNTIF(B23:AQ23,"音")</f>
        <v>1</v>
      </c>
      <c r="BC23" s="365">
        <f>COUNTIF(B23:AQ23,"美")</f>
        <v>1</v>
      </c>
      <c r="BD23" s="365">
        <f>COUNTIF(B23:AQ23,"信")</f>
        <v>1</v>
      </c>
      <c r="BE23" s="365">
        <f>COUNTIF(B23:AQ23,"心综")</f>
        <v>1</v>
      </c>
      <c r="BF23" s="365">
        <f>COUNTIF(B23:AQ23,"班")</f>
        <v>1</v>
      </c>
      <c r="BG23" s="365">
        <f>COUNTIF(B23:AQ23,"劳")</f>
        <v>1</v>
      </c>
      <c r="BH23" s="365">
        <f>COUNTIF(B23:AQ23,"听说")</f>
        <v>1</v>
      </c>
      <c r="BI23" s="365">
        <f>COUNTIF(B23:AQ23,"综实")</f>
        <v>0</v>
      </c>
    </row>
    <row r="24" s="7" customFormat="1" ht="47.1" customHeight="1" spans="1:61">
      <c r="A24" s="343" t="s">
        <v>73</v>
      </c>
      <c r="B24" s="25" t="s">
        <v>32</v>
      </c>
      <c r="C24" s="25" t="s">
        <v>38</v>
      </c>
      <c r="D24" s="25" t="s">
        <v>14</v>
      </c>
      <c r="E24" s="25" t="s">
        <v>12</v>
      </c>
      <c r="F24" s="25" t="s">
        <v>29</v>
      </c>
      <c r="G24" s="25" t="s">
        <v>35</v>
      </c>
      <c r="H24" s="25" t="s">
        <v>33</v>
      </c>
      <c r="I24" s="360" t="s">
        <v>36</v>
      </c>
      <c r="J24" s="344" t="s">
        <v>34</v>
      </c>
      <c r="K24" s="25" t="s">
        <v>33</v>
      </c>
      <c r="L24" s="25" t="s">
        <v>72</v>
      </c>
      <c r="M24" s="25" t="s">
        <v>32</v>
      </c>
      <c r="N24" s="25" t="s">
        <v>14</v>
      </c>
      <c r="O24" s="362" t="s">
        <v>40</v>
      </c>
      <c r="P24" s="25" t="s">
        <v>12</v>
      </c>
      <c r="Q24" s="25" t="s">
        <v>12</v>
      </c>
      <c r="R24" s="344" t="s">
        <v>37</v>
      </c>
      <c r="S24" s="12"/>
      <c r="T24" s="25" t="s">
        <v>26</v>
      </c>
      <c r="U24" s="25" t="s">
        <v>14</v>
      </c>
      <c r="V24" s="25" t="s">
        <v>12</v>
      </c>
      <c r="W24" s="12" t="s">
        <v>43</v>
      </c>
      <c r="X24" s="25" t="s">
        <v>30</v>
      </c>
      <c r="Y24" s="25" t="s">
        <v>31</v>
      </c>
      <c r="Z24" s="25" t="s">
        <v>32</v>
      </c>
      <c r="AA24" s="25" t="s">
        <v>36</v>
      </c>
      <c r="AB24" s="12"/>
      <c r="AC24" s="25" t="s">
        <v>12</v>
      </c>
      <c r="AD24" s="25" t="s">
        <v>32</v>
      </c>
      <c r="AE24" s="25" t="s">
        <v>14</v>
      </c>
      <c r="AF24" s="25" t="s">
        <v>30</v>
      </c>
      <c r="AG24" s="25" t="s">
        <v>33</v>
      </c>
      <c r="AH24" s="25" t="s">
        <v>35</v>
      </c>
      <c r="AI24" s="25" t="s">
        <v>29</v>
      </c>
      <c r="AJ24" s="344" t="s">
        <v>41</v>
      </c>
      <c r="AK24" s="12"/>
      <c r="AL24" s="25" t="s">
        <v>32</v>
      </c>
      <c r="AM24" s="25" t="s">
        <v>72</v>
      </c>
      <c r="AN24" s="25" t="s">
        <v>29</v>
      </c>
      <c r="AO24" s="25" t="s">
        <v>39</v>
      </c>
      <c r="AP24" s="25" t="s">
        <v>14</v>
      </c>
      <c r="AQ24" s="360" t="s">
        <v>30</v>
      </c>
      <c r="AR24" s="360" t="s">
        <v>12</v>
      </c>
      <c r="AT24" s="365">
        <f t="shared" ref="AT24:AT30" si="16">COUNTIF(B24:AR24,"语")</f>
        <v>6</v>
      </c>
      <c r="AU24" s="365">
        <f t="shared" ref="AU24:AU30" si="17">COUNTIF(B24:AR24,"数")</f>
        <v>5</v>
      </c>
      <c r="AV24" s="365">
        <f t="shared" ref="AV24:AV30" si="18">COUNTIF(B24:AR24,"英")</f>
        <v>5</v>
      </c>
      <c r="AW24" s="365">
        <f t="shared" ref="AW24:AW30" si="19">COUNTIF(B24:AR24,"政")</f>
        <v>2</v>
      </c>
      <c r="AX24" s="365">
        <f t="shared" ref="AX24:AX30" si="20">COUNTIF(B24:AR24,"历")</f>
        <v>2</v>
      </c>
      <c r="AY24" s="365">
        <f t="shared" ref="AY24:AY30" si="21">COUNTIF(B24:AR24,"地")</f>
        <v>3</v>
      </c>
      <c r="AZ24" s="365">
        <f t="shared" ref="AZ24:AZ30" si="22">COUNTIF(B24:AR24,"生")</f>
        <v>3</v>
      </c>
      <c r="BA24" s="365">
        <f t="shared" ref="BA24:BA30" si="23">COUNTIF(B24:AR24,"体")</f>
        <v>3</v>
      </c>
      <c r="BB24" s="365">
        <f t="shared" ref="BB24:BB30" si="24">COUNTIF(B24:AR24,"音")</f>
        <v>1</v>
      </c>
      <c r="BC24" s="365">
        <f t="shared" ref="BC24:BC30" si="25">COUNTIF(B24:AR24,"美")</f>
        <v>1</v>
      </c>
      <c r="BD24" s="365">
        <f t="shared" ref="BD24:BD30" si="26">COUNTIF(B24:AR24,"信")</f>
        <v>1</v>
      </c>
      <c r="BE24" s="365">
        <f t="shared" ref="BE24:BE30" si="27">COUNTIF(B24:AR24,"心综")</f>
        <v>1</v>
      </c>
      <c r="BF24" s="365">
        <f t="shared" ref="BF24:BF30" si="28">COUNTIF(B24:AR24,"班")</f>
        <v>1</v>
      </c>
      <c r="BG24" s="365">
        <f t="shared" ref="BG24:BG30" si="29">COUNTIF(B24:AR24,"劳")</f>
        <v>1</v>
      </c>
      <c r="BH24" s="365">
        <f t="shared" ref="BH24:BH30" si="30">COUNTIF(B24:AR24,"听说")</f>
        <v>1</v>
      </c>
      <c r="BI24" s="365">
        <f t="shared" ref="BI24:BI30" si="31">COUNTIF(B24:AR24,"综实")</f>
        <v>0</v>
      </c>
    </row>
    <row r="25" s="7" customFormat="1" ht="47.1" customHeight="1" spans="1:61">
      <c r="A25" s="343" t="s">
        <v>74</v>
      </c>
      <c r="B25" s="25" t="s">
        <v>33</v>
      </c>
      <c r="C25" s="25" t="s">
        <v>14</v>
      </c>
      <c r="D25" s="25" t="s">
        <v>43</v>
      </c>
      <c r="E25" s="25" t="s">
        <v>12</v>
      </c>
      <c r="F25" s="25" t="s">
        <v>32</v>
      </c>
      <c r="G25" s="25" t="s">
        <v>38</v>
      </c>
      <c r="H25" s="25" t="s">
        <v>30</v>
      </c>
      <c r="I25" s="360" t="s">
        <v>40</v>
      </c>
      <c r="J25" s="344" t="s">
        <v>34</v>
      </c>
      <c r="K25" s="25" t="s">
        <v>32</v>
      </c>
      <c r="L25" s="25" t="s">
        <v>75</v>
      </c>
      <c r="M25" s="25" t="s">
        <v>29</v>
      </c>
      <c r="N25" s="25" t="s">
        <v>33</v>
      </c>
      <c r="O25" s="25" t="s">
        <v>14</v>
      </c>
      <c r="P25" s="25" t="s">
        <v>12</v>
      </c>
      <c r="Q25" s="25" t="s">
        <v>12</v>
      </c>
      <c r="R25" s="344" t="s">
        <v>37</v>
      </c>
      <c r="S25" s="12"/>
      <c r="T25" s="12" t="s">
        <v>39</v>
      </c>
      <c r="U25" s="25" t="s">
        <v>36</v>
      </c>
      <c r="V25" s="25" t="s">
        <v>12</v>
      </c>
      <c r="W25" s="25" t="s">
        <v>14</v>
      </c>
      <c r="X25" s="25" t="s">
        <v>26</v>
      </c>
      <c r="Y25" s="25" t="s">
        <v>35</v>
      </c>
      <c r="Z25" s="25" t="s">
        <v>32</v>
      </c>
      <c r="AA25" s="25" t="s">
        <v>30</v>
      </c>
      <c r="AB25" s="37"/>
      <c r="AC25" s="25" t="s">
        <v>29</v>
      </c>
      <c r="AD25" s="25" t="s">
        <v>12</v>
      </c>
      <c r="AE25" s="25" t="s">
        <v>14</v>
      </c>
      <c r="AF25" s="25" t="s">
        <v>33</v>
      </c>
      <c r="AG25" s="344" t="s">
        <v>36</v>
      </c>
      <c r="AH25" s="25" t="s">
        <v>32</v>
      </c>
      <c r="AI25" s="25" t="s">
        <v>75</v>
      </c>
      <c r="AJ25" s="344" t="s">
        <v>41</v>
      </c>
      <c r="AK25" s="37"/>
      <c r="AL25" s="25" t="s">
        <v>32</v>
      </c>
      <c r="AM25" s="25" t="s">
        <v>14</v>
      </c>
      <c r="AN25" s="25" t="s">
        <v>30</v>
      </c>
      <c r="AO25" s="25" t="s">
        <v>29</v>
      </c>
      <c r="AP25" s="25" t="s">
        <v>35</v>
      </c>
      <c r="AQ25" s="366" t="s">
        <v>31</v>
      </c>
      <c r="AR25" s="366" t="s">
        <v>12</v>
      </c>
      <c r="AT25" s="365">
        <f>COUNTIF(B25:AQ25,"语")</f>
        <v>5</v>
      </c>
      <c r="AU25" s="365">
        <f>COUNTIF(B25:AQ25,"数")</f>
        <v>5</v>
      </c>
      <c r="AV25" s="365">
        <f>COUNTIF(B25:AQ25,"英")</f>
        <v>5</v>
      </c>
      <c r="AW25" s="365">
        <f>COUNTIF(B25:AQ25,"政")</f>
        <v>2</v>
      </c>
      <c r="AX25" s="365">
        <f>COUNTIF(B25:AQ25,"历")</f>
        <v>2</v>
      </c>
      <c r="AY25" s="365">
        <f>COUNTIF(B25:AQ25,"地")</f>
        <v>3</v>
      </c>
      <c r="AZ25" s="365">
        <f>COUNTIF(B25:AQ25,"生")</f>
        <v>3</v>
      </c>
      <c r="BA25" s="365">
        <f>COUNTIF(B25:AQ25,"体")</f>
        <v>3</v>
      </c>
      <c r="BB25" s="365">
        <f>COUNTIF(B25:AQ25,"音")</f>
        <v>1</v>
      </c>
      <c r="BC25" s="365">
        <f>COUNTIF(B25:AQ25,"美")</f>
        <v>1</v>
      </c>
      <c r="BD25" s="365">
        <f>COUNTIF(B25:AQ25,"信")</f>
        <v>1</v>
      </c>
      <c r="BE25" s="365">
        <f>COUNTIF(B25:AQ25,"心综")</f>
        <v>1</v>
      </c>
      <c r="BF25" s="365">
        <f>COUNTIF(B25:AQ25,"班")</f>
        <v>1</v>
      </c>
      <c r="BG25" s="365">
        <f>COUNTIF(B25:AQ25,"劳")</f>
        <v>1</v>
      </c>
      <c r="BH25" s="365">
        <f>COUNTIF(B25:AQ25,"听说")</f>
        <v>1</v>
      </c>
      <c r="BI25" s="365">
        <f>COUNTIF(B25:AQ25,"综实")</f>
        <v>0</v>
      </c>
    </row>
    <row r="26" s="7" customFormat="1" ht="47.1" customHeight="1" spans="1:61">
      <c r="A26" s="343" t="s">
        <v>76</v>
      </c>
      <c r="B26" s="25" t="s">
        <v>14</v>
      </c>
      <c r="C26" s="25" t="s">
        <v>32</v>
      </c>
      <c r="D26" s="25" t="s">
        <v>30</v>
      </c>
      <c r="E26" s="366" t="s">
        <v>33</v>
      </c>
      <c r="F26" s="25" t="s">
        <v>31</v>
      </c>
      <c r="G26" s="25" t="s">
        <v>12</v>
      </c>
      <c r="H26" s="25" t="s">
        <v>29</v>
      </c>
      <c r="I26" s="366" t="s">
        <v>39</v>
      </c>
      <c r="J26" s="344" t="s">
        <v>34</v>
      </c>
      <c r="K26" s="25" t="s">
        <v>12</v>
      </c>
      <c r="L26" s="25" t="s">
        <v>12</v>
      </c>
      <c r="M26" s="25" t="s">
        <v>35</v>
      </c>
      <c r="N26" s="25" t="s">
        <v>14</v>
      </c>
      <c r="O26" s="366" t="s">
        <v>36</v>
      </c>
      <c r="P26" s="25" t="s">
        <v>32</v>
      </c>
      <c r="Q26" s="25" t="s">
        <v>75</v>
      </c>
      <c r="R26" s="344" t="s">
        <v>37</v>
      </c>
      <c r="S26" s="12"/>
      <c r="T26" s="25" t="s">
        <v>26</v>
      </c>
      <c r="U26" s="25" t="s">
        <v>14</v>
      </c>
      <c r="V26" s="25" t="s">
        <v>29</v>
      </c>
      <c r="W26" s="25" t="s">
        <v>12</v>
      </c>
      <c r="X26" s="12" t="s">
        <v>36</v>
      </c>
      <c r="Y26" s="25" t="s">
        <v>33</v>
      </c>
      <c r="Z26" s="25" t="s">
        <v>40</v>
      </c>
      <c r="AA26" s="25" t="s">
        <v>32</v>
      </c>
      <c r="AB26" s="12"/>
      <c r="AC26" s="25" t="s">
        <v>12</v>
      </c>
      <c r="AD26" s="25" t="s">
        <v>32</v>
      </c>
      <c r="AE26" s="25" t="s">
        <v>75</v>
      </c>
      <c r="AF26" s="25" t="s">
        <v>29</v>
      </c>
      <c r="AG26" s="25" t="s">
        <v>43</v>
      </c>
      <c r="AH26" s="25" t="s">
        <v>30</v>
      </c>
      <c r="AI26" s="25" t="s">
        <v>14</v>
      </c>
      <c r="AJ26" s="344" t="s">
        <v>41</v>
      </c>
      <c r="AK26" s="37"/>
      <c r="AL26" s="25" t="s">
        <v>33</v>
      </c>
      <c r="AM26" s="25" t="s">
        <v>38</v>
      </c>
      <c r="AN26" s="25" t="s">
        <v>32</v>
      </c>
      <c r="AO26" s="25" t="s">
        <v>35</v>
      </c>
      <c r="AP26" s="25" t="s">
        <v>14</v>
      </c>
      <c r="AQ26" s="366" t="s">
        <v>12</v>
      </c>
      <c r="AR26" s="366" t="s">
        <v>30</v>
      </c>
      <c r="AT26" s="365">
        <f t="shared" si="16"/>
        <v>6</v>
      </c>
      <c r="AU26" s="365">
        <f t="shared" si="17"/>
        <v>5</v>
      </c>
      <c r="AV26" s="365">
        <f t="shared" si="18"/>
        <v>5</v>
      </c>
      <c r="AW26" s="365">
        <f t="shared" si="19"/>
        <v>2</v>
      </c>
      <c r="AX26" s="365">
        <f t="shared" si="20"/>
        <v>2</v>
      </c>
      <c r="AY26" s="365">
        <f t="shared" si="21"/>
        <v>3</v>
      </c>
      <c r="AZ26" s="365">
        <f t="shared" si="22"/>
        <v>3</v>
      </c>
      <c r="BA26" s="365">
        <f t="shared" si="23"/>
        <v>3</v>
      </c>
      <c r="BB26" s="365">
        <f t="shared" si="24"/>
        <v>1</v>
      </c>
      <c r="BC26" s="365">
        <f t="shared" si="25"/>
        <v>1</v>
      </c>
      <c r="BD26" s="365">
        <f t="shared" si="26"/>
        <v>1</v>
      </c>
      <c r="BE26" s="365">
        <f t="shared" si="27"/>
        <v>1</v>
      </c>
      <c r="BF26" s="365">
        <f t="shared" si="28"/>
        <v>1</v>
      </c>
      <c r="BG26" s="365">
        <f t="shared" si="29"/>
        <v>1</v>
      </c>
      <c r="BH26" s="365">
        <f t="shared" si="30"/>
        <v>1</v>
      </c>
      <c r="BI26" s="365">
        <f t="shared" si="31"/>
        <v>0</v>
      </c>
    </row>
    <row r="27" s="7" customFormat="1" ht="47.1" customHeight="1" spans="1:61">
      <c r="A27" s="343" t="s">
        <v>77</v>
      </c>
      <c r="B27" s="25" t="s">
        <v>14</v>
      </c>
      <c r="C27" s="25" t="s">
        <v>29</v>
      </c>
      <c r="D27" s="25" t="s">
        <v>32</v>
      </c>
      <c r="E27" s="25" t="s">
        <v>12</v>
      </c>
      <c r="F27" s="25" t="s">
        <v>30</v>
      </c>
      <c r="G27" s="25" t="s">
        <v>33</v>
      </c>
      <c r="H27" s="360" t="s">
        <v>40</v>
      </c>
      <c r="I27" s="370" t="s">
        <v>35</v>
      </c>
      <c r="J27" s="344" t="s">
        <v>34</v>
      </c>
      <c r="K27" s="25" t="s">
        <v>32</v>
      </c>
      <c r="L27" s="25" t="s">
        <v>78</v>
      </c>
      <c r="M27" s="25" t="s">
        <v>14</v>
      </c>
      <c r="N27" s="25" t="s">
        <v>33</v>
      </c>
      <c r="O27" s="25" t="s">
        <v>29</v>
      </c>
      <c r="P27" s="25" t="s">
        <v>12</v>
      </c>
      <c r="Q27" s="25" t="s">
        <v>12</v>
      </c>
      <c r="R27" s="344" t="s">
        <v>37</v>
      </c>
      <c r="S27" s="12"/>
      <c r="T27" s="25" t="s">
        <v>36</v>
      </c>
      <c r="U27" s="360" t="s">
        <v>30</v>
      </c>
      <c r="V27" s="25" t="s">
        <v>12</v>
      </c>
      <c r="W27" s="25" t="s">
        <v>14</v>
      </c>
      <c r="X27" s="25" t="s">
        <v>26</v>
      </c>
      <c r="Y27" s="25" t="s">
        <v>32</v>
      </c>
      <c r="Z27" s="25" t="s">
        <v>38</v>
      </c>
      <c r="AA27" s="25" t="s">
        <v>35</v>
      </c>
      <c r="AB27" s="12"/>
      <c r="AC27" s="25" t="s">
        <v>29</v>
      </c>
      <c r="AD27" s="25" t="s">
        <v>14</v>
      </c>
      <c r="AE27" s="25" t="s">
        <v>43</v>
      </c>
      <c r="AF27" s="25" t="s">
        <v>12</v>
      </c>
      <c r="AG27" s="344" t="s">
        <v>31</v>
      </c>
      <c r="AH27" s="25" t="s">
        <v>32</v>
      </c>
      <c r="AI27" s="12" t="s">
        <v>30</v>
      </c>
      <c r="AJ27" s="344" t="s">
        <v>41</v>
      </c>
      <c r="AK27" s="12"/>
      <c r="AL27" s="25" t="s">
        <v>39</v>
      </c>
      <c r="AM27" s="25" t="s">
        <v>14</v>
      </c>
      <c r="AN27" s="25" t="s">
        <v>33</v>
      </c>
      <c r="AO27" s="25" t="s">
        <v>32</v>
      </c>
      <c r="AP27" s="25" t="s">
        <v>78</v>
      </c>
      <c r="AQ27" s="25" t="s">
        <v>36</v>
      </c>
      <c r="AR27" s="25" t="s">
        <v>12</v>
      </c>
      <c r="AT27" s="365">
        <f t="shared" si="16"/>
        <v>6</v>
      </c>
      <c r="AU27" s="365">
        <f t="shared" si="17"/>
        <v>5</v>
      </c>
      <c r="AV27" s="365">
        <f t="shared" si="18"/>
        <v>5</v>
      </c>
      <c r="AW27" s="365">
        <f t="shared" si="19"/>
        <v>2</v>
      </c>
      <c r="AX27" s="365">
        <f t="shared" si="20"/>
        <v>2</v>
      </c>
      <c r="AY27" s="365">
        <f t="shared" si="21"/>
        <v>3</v>
      </c>
      <c r="AZ27" s="365">
        <f t="shared" si="22"/>
        <v>3</v>
      </c>
      <c r="BA27" s="365">
        <f t="shared" si="23"/>
        <v>3</v>
      </c>
      <c r="BB27" s="365">
        <f t="shared" si="24"/>
        <v>1</v>
      </c>
      <c r="BC27" s="365">
        <f t="shared" si="25"/>
        <v>1</v>
      </c>
      <c r="BD27" s="365">
        <f t="shared" si="26"/>
        <v>1</v>
      </c>
      <c r="BE27" s="365">
        <f t="shared" si="27"/>
        <v>1</v>
      </c>
      <c r="BF27" s="365">
        <f t="shared" si="28"/>
        <v>1</v>
      </c>
      <c r="BG27" s="365">
        <f t="shared" si="29"/>
        <v>1</v>
      </c>
      <c r="BH27" s="365">
        <f t="shared" si="30"/>
        <v>1</v>
      </c>
      <c r="BI27" s="365">
        <f t="shared" si="31"/>
        <v>0</v>
      </c>
    </row>
    <row r="28" s="7" customFormat="1" ht="47.1" customHeight="1" spans="1:61">
      <c r="A28" s="343" t="s">
        <v>79</v>
      </c>
      <c r="B28" s="25" t="s">
        <v>35</v>
      </c>
      <c r="C28" s="25" t="s">
        <v>14</v>
      </c>
      <c r="D28" s="25" t="s">
        <v>33</v>
      </c>
      <c r="E28" s="25" t="s">
        <v>36</v>
      </c>
      <c r="F28" s="25" t="s">
        <v>12</v>
      </c>
      <c r="G28" s="25" t="s">
        <v>29</v>
      </c>
      <c r="H28" s="362" t="s">
        <v>39</v>
      </c>
      <c r="I28" s="362" t="s">
        <v>32</v>
      </c>
      <c r="J28" s="344" t="s">
        <v>34</v>
      </c>
      <c r="K28" s="25" t="s">
        <v>31</v>
      </c>
      <c r="L28" s="25" t="s">
        <v>12</v>
      </c>
      <c r="M28" s="25" t="s">
        <v>12</v>
      </c>
      <c r="N28" s="25" t="s">
        <v>32</v>
      </c>
      <c r="O28" s="25" t="s">
        <v>78</v>
      </c>
      <c r="P28" s="25" t="s">
        <v>30</v>
      </c>
      <c r="Q28" s="25" t="s">
        <v>14</v>
      </c>
      <c r="R28" s="344" t="s">
        <v>37</v>
      </c>
      <c r="S28" s="12"/>
      <c r="T28" s="25" t="s">
        <v>14</v>
      </c>
      <c r="U28" s="25" t="s">
        <v>26</v>
      </c>
      <c r="V28" s="25" t="s">
        <v>43</v>
      </c>
      <c r="W28" s="25" t="s">
        <v>29</v>
      </c>
      <c r="X28" s="25" t="s">
        <v>12</v>
      </c>
      <c r="Y28" s="12" t="s">
        <v>33</v>
      </c>
      <c r="Z28" s="25" t="s">
        <v>35</v>
      </c>
      <c r="AA28" s="25" t="s">
        <v>32</v>
      </c>
      <c r="AB28" s="12"/>
      <c r="AC28" s="25" t="s">
        <v>12</v>
      </c>
      <c r="AD28" s="25" t="s">
        <v>30</v>
      </c>
      <c r="AE28" s="25" t="s">
        <v>36</v>
      </c>
      <c r="AF28" s="25" t="s">
        <v>14</v>
      </c>
      <c r="AG28" s="25" t="s">
        <v>40</v>
      </c>
      <c r="AH28" s="25" t="s">
        <v>33</v>
      </c>
      <c r="AI28" s="25" t="s">
        <v>32</v>
      </c>
      <c r="AJ28" s="344" t="s">
        <v>41</v>
      </c>
      <c r="AK28" s="346"/>
      <c r="AL28" s="25" t="s">
        <v>32</v>
      </c>
      <c r="AM28" s="25" t="s">
        <v>78</v>
      </c>
      <c r="AN28" s="25" t="s">
        <v>14</v>
      </c>
      <c r="AO28" s="25" t="s">
        <v>30</v>
      </c>
      <c r="AP28" s="25" t="s">
        <v>38</v>
      </c>
      <c r="AQ28" s="38" t="s">
        <v>12</v>
      </c>
      <c r="AR28" s="25" t="s">
        <v>29</v>
      </c>
      <c r="AT28" s="365">
        <f t="shared" si="16"/>
        <v>6</v>
      </c>
      <c r="AU28" s="365">
        <f t="shared" si="17"/>
        <v>5</v>
      </c>
      <c r="AV28" s="365">
        <f t="shared" si="18"/>
        <v>5</v>
      </c>
      <c r="AW28" s="365">
        <f t="shared" si="19"/>
        <v>2</v>
      </c>
      <c r="AX28" s="365">
        <f t="shared" si="20"/>
        <v>2</v>
      </c>
      <c r="AY28" s="365">
        <f t="shared" si="21"/>
        <v>3</v>
      </c>
      <c r="AZ28" s="365">
        <f t="shared" si="22"/>
        <v>3</v>
      </c>
      <c r="BA28" s="365">
        <f t="shared" si="23"/>
        <v>3</v>
      </c>
      <c r="BB28" s="365">
        <f t="shared" si="24"/>
        <v>1</v>
      </c>
      <c r="BC28" s="365">
        <f t="shared" si="25"/>
        <v>1</v>
      </c>
      <c r="BD28" s="365">
        <f t="shared" si="26"/>
        <v>1</v>
      </c>
      <c r="BE28" s="365">
        <f t="shared" si="27"/>
        <v>1</v>
      </c>
      <c r="BF28" s="365">
        <f t="shared" si="28"/>
        <v>1</v>
      </c>
      <c r="BG28" s="365">
        <f t="shared" si="29"/>
        <v>1</v>
      </c>
      <c r="BH28" s="365">
        <f t="shared" si="30"/>
        <v>1</v>
      </c>
      <c r="BI28" s="365">
        <f t="shared" si="31"/>
        <v>0</v>
      </c>
    </row>
    <row r="29" s="7" customFormat="1" ht="47.1" customHeight="1" spans="1:61">
      <c r="A29" s="371" t="s">
        <v>80</v>
      </c>
      <c r="B29" s="40" t="s">
        <v>33</v>
      </c>
      <c r="C29" s="40" t="s">
        <v>12</v>
      </c>
      <c r="D29" s="40" t="s">
        <v>38</v>
      </c>
      <c r="E29" s="40" t="s">
        <v>14</v>
      </c>
      <c r="F29" s="40" t="s">
        <v>36</v>
      </c>
      <c r="G29" s="40" t="s">
        <v>43</v>
      </c>
      <c r="H29" s="40" t="s">
        <v>32</v>
      </c>
      <c r="I29" s="372" t="s">
        <v>30</v>
      </c>
      <c r="J29" s="373" t="s">
        <v>34</v>
      </c>
      <c r="K29" s="40" t="s">
        <v>12</v>
      </c>
      <c r="L29" s="40" t="s">
        <v>12</v>
      </c>
      <c r="M29" s="40" t="s">
        <v>29</v>
      </c>
      <c r="N29" s="40" t="s">
        <v>32</v>
      </c>
      <c r="O29" s="40" t="s">
        <v>81</v>
      </c>
      <c r="P29" s="40" t="s">
        <v>14</v>
      </c>
      <c r="Q29" s="40" t="s">
        <v>35</v>
      </c>
      <c r="R29" s="373" t="s">
        <v>37</v>
      </c>
      <c r="S29" s="41"/>
      <c r="T29" s="40" t="s">
        <v>14</v>
      </c>
      <c r="U29" s="40" t="s">
        <v>26</v>
      </c>
      <c r="V29" s="40" t="s">
        <v>12</v>
      </c>
      <c r="W29" s="40" t="s">
        <v>39</v>
      </c>
      <c r="X29" s="40" t="s">
        <v>30</v>
      </c>
      <c r="Y29" s="40" t="s">
        <v>32</v>
      </c>
      <c r="Z29" s="40" t="s">
        <v>36</v>
      </c>
      <c r="AA29" s="40" t="s">
        <v>33</v>
      </c>
      <c r="AB29" s="37"/>
      <c r="AC29" s="40" t="s">
        <v>35</v>
      </c>
      <c r="AD29" s="40" t="s">
        <v>32</v>
      </c>
      <c r="AE29" s="40" t="s">
        <v>14</v>
      </c>
      <c r="AF29" s="40" t="s">
        <v>12</v>
      </c>
      <c r="AG29" s="40" t="s">
        <v>30</v>
      </c>
      <c r="AH29" s="41" t="s">
        <v>29</v>
      </c>
      <c r="AI29" s="366" t="s">
        <v>40</v>
      </c>
      <c r="AJ29" s="373" t="s">
        <v>41</v>
      </c>
      <c r="AK29" s="37"/>
      <c r="AL29" s="40" t="s">
        <v>33</v>
      </c>
      <c r="AM29" s="40" t="s">
        <v>14</v>
      </c>
      <c r="AN29" s="40" t="s">
        <v>31</v>
      </c>
      <c r="AO29" s="40" t="s">
        <v>32</v>
      </c>
      <c r="AP29" s="40" t="s">
        <v>81</v>
      </c>
      <c r="AQ29" s="40" t="s">
        <v>29</v>
      </c>
      <c r="AR29" s="40" t="s">
        <v>12</v>
      </c>
      <c r="AT29" s="365">
        <f t="shared" si="16"/>
        <v>6</v>
      </c>
      <c r="AU29" s="365">
        <f t="shared" si="17"/>
        <v>5</v>
      </c>
      <c r="AV29" s="365">
        <f t="shared" si="18"/>
        <v>5</v>
      </c>
      <c r="AW29" s="365">
        <f t="shared" si="19"/>
        <v>2</v>
      </c>
      <c r="AX29" s="365">
        <f t="shared" si="20"/>
        <v>2</v>
      </c>
      <c r="AY29" s="365">
        <f t="shared" si="21"/>
        <v>3</v>
      </c>
      <c r="AZ29" s="365">
        <f t="shared" si="22"/>
        <v>3</v>
      </c>
      <c r="BA29" s="365">
        <f t="shared" si="23"/>
        <v>3</v>
      </c>
      <c r="BB29" s="365">
        <f t="shared" si="24"/>
        <v>1</v>
      </c>
      <c r="BC29" s="365">
        <f t="shared" si="25"/>
        <v>1</v>
      </c>
      <c r="BD29" s="365">
        <f t="shared" si="26"/>
        <v>1</v>
      </c>
      <c r="BE29" s="365">
        <f t="shared" si="27"/>
        <v>1</v>
      </c>
      <c r="BF29" s="365">
        <f t="shared" si="28"/>
        <v>1</v>
      </c>
      <c r="BG29" s="365">
        <f t="shared" si="29"/>
        <v>1</v>
      </c>
      <c r="BH29" s="365">
        <f t="shared" si="30"/>
        <v>1</v>
      </c>
      <c r="BI29" s="365">
        <f t="shared" si="31"/>
        <v>0</v>
      </c>
    </row>
    <row r="30" s="7" customFormat="1" ht="47.1" customHeight="1" spans="1:61">
      <c r="A30" s="374" t="s">
        <v>82</v>
      </c>
      <c r="B30" s="25" t="s">
        <v>32</v>
      </c>
      <c r="C30" s="25" t="s">
        <v>39</v>
      </c>
      <c r="D30" s="25" t="s">
        <v>35</v>
      </c>
      <c r="E30" s="25" t="s">
        <v>30</v>
      </c>
      <c r="F30" s="25" t="s">
        <v>14</v>
      </c>
      <c r="G30" s="25" t="s">
        <v>12</v>
      </c>
      <c r="H30" s="25" t="s">
        <v>29</v>
      </c>
      <c r="I30" s="360" t="s">
        <v>36</v>
      </c>
      <c r="J30" s="344" t="s">
        <v>34</v>
      </c>
      <c r="K30" s="25" t="s">
        <v>32</v>
      </c>
      <c r="L30" s="25" t="s">
        <v>81</v>
      </c>
      <c r="M30" s="12" t="s">
        <v>14</v>
      </c>
      <c r="N30" s="25" t="s">
        <v>12</v>
      </c>
      <c r="O30" s="25" t="s">
        <v>12</v>
      </c>
      <c r="P30" s="25" t="s">
        <v>33</v>
      </c>
      <c r="Q30" s="25" t="s">
        <v>31</v>
      </c>
      <c r="R30" s="344" t="s">
        <v>37</v>
      </c>
      <c r="S30" s="12"/>
      <c r="T30" s="25" t="s">
        <v>29</v>
      </c>
      <c r="U30" s="25" t="s">
        <v>12</v>
      </c>
      <c r="V30" s="25" t="s">
        <v>36</v>
      </c>
      <c r="W30" s="25" t="s">
        <v>14</v>
      </c>
      <c r="X30" s="25" t="s">
        <v>26</v>
      </c>
      <c r="Y30" s="25" t="s">
        <v>38</v>
      </c>
      <c r="Z30" s="25" t="s">
        <v>30</v>
      </c>
      <c r="AA30" s="25" t="s">
        <v>32</v>
      </c>
      <c r="AB30" s="12"/>
      <c r="AC30" s="25" t="s">
        <v>12</v>
      </c>
      <c r="AD30" s="25" t="s">
        <v>33</v>
      </c>
      <c r="AE30" s="25" t="s">
        <v>32</v>
      </c>
      <c r="AF30" s="25" t="s">
        <v>14</v>
      </c>
      <c r="AG30" s="366" t="s">
        <v>35</v>
      </c>
      <c r="AH30" s="366" t="s">
        <v>40</v>
      </c>
      <c r="AI30" s="25" t="s">
        <v>43</v>
      </c>
      <c r="AJ30" s="344" t="s">
        <v>41</v>
      </c>
      <c r="AK30" s="12"/>
      <c r="AL30" s="25" t="s">
        <v>32</v>
      </c>
      <c r="AM30" s="25" t="s">
        <v>81</v>
      </c>
      <c r="AN30" s="25" t="s">
        <v>29</v>
      </c>
      <c r="AO30" s="25" t="s">
        <v>14</v>
      </c>
      <c r="AP30" s="25" t="s">
        <v>30</v>
      </c>
      <c r="AQ30" s="25" t="s">
        <v>12</v>
      </c>
      <c r="AR30" s="25" t="s">
        <v>33</v>
      </c>
      <c r="AT30" s="365">
        <f t="shared" si="16"/>
        <v>6</v>
      </c>
      <c r="AU30" s="365">
        <f t="shared" si="17"/>
        <v>5</v>
      </c>
      <c r="AV30" s="365">
        <f t="shared" si="18"/>
        <v>5</v>
      </c>
      <c r="AW30" s="365">
        <f t="shared" si="19"/>
        <v>2</v>
      </c>
      <c r="AX30" s="365">
        <f t="shared" si="20"/>
        <v>2</v>
      </c>
      <c r="AY30" s="365">
        <f t="shared" si="21"/>
        <v>3</v>
      </c>
      <c r="AZ30" s="365">
        <f t="shared" si="22"/>
        <v>3</v>
      </c>
      <c r="BA30" s="365">
        <f t="shared" si="23"/>
        <v>3</v>
      </c>
      <c r="BB30" s="365">
        <f t="shared" si="24"/>
        <v>1</v>
      </c>
      <c r="BC30" s="365">
        <f t="shared" si="25"/>
        <v>1</v>
      </c>
      <c r="BD30" s="365">
        <f t="shared" si="26"/>
        <v>1</v>
      </c>
      <c r="BE30" s="365">
        <f t="shared" si="27"/>
        <v>1</v>
      </c>
      <c r="BF30" s="365">
        <f t="shared" si="28"/>
        <v>1</v>
      </c>
      <c r="BG30" s="365">
        <f t="shared" si="29"/>
        <v>1</v>
      </c>
      <c r="BH30" s="365">
        <f t="shared" si="30"/>
        <v>1</v>
      </c>
      <c r="BI30" s="365">
        <f t="shared" si="31"/>
        <v>0</v>
      </c>
    </row>
    <row r="31" s="8" customFormat="1" ht="98.1" customHeight="1" spans="1:61">
      <c r="A31" s="349"/>
      <c r="B31" s="350"/>
      <c r="C31" s="350"/>
      <c r="D31" s="350"/>
      <c r="E31" s="351" t="s">
        <v>83</v>
      </c>
      <c r="F31" s="351"/>
      <c r="G31" s="352"/>
      <c r="H31" s="352"/>
      <c r="I31" s="352"/>
      <c r="J31" s="352"/>
      <c r="K31" s="351" t="s">
        <v>84</v>
      </c>
      <c r="L31" s="351"/>
      <c r="M31" s="351"/>
      <c r="N31" s="351"/>
      <c r="O31" s="351"/>
      <c r="P31" s="352"/>
      <c r="Q31" s="352"/>
      <c r="R31" s="352"/>
      <c r="S31" s="352"/>
      <c r="T31" s="351" t="s">
        <v>85</v>
      </c>
      <c r="U31" s="351"/>
      <c r="V31" s="351"/>
      <c r="W31" s="351"/>
      <c r="X31" s="351"/>
      <c r="Y31" s="351" t="s">
        <v>86</v>
      </c>
      <c r="Z31" s="351"/>
      <c r="AA31" s="351"/>
      <c r="AB31" s="351"/>
      <c r="AC31" s="351" t="s">
        <v>87</v>
      </c>
      <c r="AD31" s="351"/>
      <c r="AE31" s="351"/>
      <c r="AF31" s="351"/>
      <c r="AG31" s="351"/>
      <c r="AH31" s="351"/>
      <c r="AI31" s="351"/>
      <c r="AJ31" s="351"/>
      <c r="AK31" s="351"/>
      <c r="AL31" s="351" t="s">
        <v>88</v>
      </c>
      <c r="AM31" s="351"/>
      <c r="AN31" s="351"/>
      <c r="AO31" s="351" t="s">
        <v>89</v>
      </c>
      <c r="AP31" s="351"/>
      <c r="AQ31" s="353"/>
      <c r="AR31" s="353"/>
      <c r="AS31" s="354"/>
      <c r="AV31" s="359"/>
      <c r="AW31" s="359"/>
      <c r="AX31" s="359"/>
      <c r="AY31" s="359"/>
      <c r="AZ31" s="359"/>
      <c r="BA31" s="359"/>
      <c r="BB31" s="359"/>
      <c r="BC31" s="359"/>
      <c r="BD31" s="359"/>
      <c r="BE31" s="359"/>
      <c r="BF31" s="359"/>
      <c r="BG31" s="359"/>
      <c r="BH31" s="359"/>
      <c r="BI31" s="359"/>
    </row>
  </sheetData>
  <mergeCells count="23">
    <mergeCell ref="A1:AS1"/>
    <mergeCell ref="B2:J2"/>
    <mergeCell ref="K2:S2"/>
    <mergeCell ref="T2:AB2"/>
    <mergeCell ref="AC2:AK2"/>
    <mergeCell ref="AL2:AS2"/>
    <mergeCell ref="B3:F3"/>
    <mergeCell ref="G3:J3"/>
    <mergeCell ref="K3:O3"/>
    <mergeCell ref="P3:S3"/>
    <mergeCell ref="T3:X3"/>
    <mergeCell ref="Y3:AB3"/>
    <mergeCell ref="AC3:AG3"/>
    <mergeCell ref="AH3:AK3"/>
    <mergeCell ref="AL3:AP3"/>
    <mergeCell ref="AQ3:AS3"/>
    <mergeCell ref="E31:F31"/>
    <mergeCell ref="K31:O31"/>
    <mergeCell ref="T31:X31"/>
    <mergeCell ref="Y31:AA31"/>
    <mergeCell ref="AC31:AG31"/>
    <mergeCell ref="AL31:AN31"/>
    <mergeCell ref="AO31:AP31"/>
  </mergeCells>
  <conditionalFormatting sqref="I15">
    <cfRule type="cellIs" dxfId="0" priority="5" operator="equal">
      <formula>"心综"</formula>
    </cfRule>
    <cfRule type="cellIs" dxfId="1" priority="4" operator="equal">
      <formula>"心综"</formula>
    </cfRule>
  </conditionalFormatting>
  <conditionalFormatting sqref="L19">
    <cfRule type="cellIs" dxfId="0" priority="7" operator="equal">
      <formula>"心综"</formula>
    </cfRule>
    <cfRule type="cellIs" dxfId="1" priority="6" operator="equal">
      <formula>"心综"</formula>
    </cfRule>
  </conditionalFormatting>
  <conditionalFormatting sqref="A1:BI31">
    <cfRule type="cellIs" dxfId="0" priority="1" operator="equal">
      <formula>"信"</formula>
    </cfRule>
  </conditionalFormatting>
  <conditionalFormatting sqref="W1:X22 T1:U22 V1:V7 V9:V11 V13:V21 V23:X1048576 T23:T1048576 U23:U26 U28:U1048576 D12 H27">
    <cfRule type="cellIs" dxfId="1" priority="8" operator="equal">
      <formula>"心综"</formula>
    </cfRule>
    <cfRule type="cellIs" dxfId="0" priority="9" operator="equal">
      <formula>"心综"</formula>
    </cfRule>
  </conditionalFormatting>
  <pageMargins left="0.75" right="0.75" top="1" bottom="1" header="0.5" footer="0.5"/>
  <pageSetup paperSize="9" scale="4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31"/>
  <sheetViews>
    <sheetView zoomScale="70" zoomScaleNormal="70" workbookViewId="0">
      <pane ySplit="4" topLeftCell="A5" activePane="bottomLeft" state="frozen"/>
      <selection/>
      <selection pane="bottomLeft" activeCell="BK19" sqref="BK19"/>
    </sheetView>
  </sheetViews>
  <sheetFormatPr defaultColWidth="9" defaultRowHeight="12"/>
  <cols>
    <col min="1" max="1" width="11.875" style="10" customWidth="1"/>
    <col min="2" max="45" width="5" style="10" customWidth="1"/>
    <col min="46" max="56" width="9" style="355" customWidth="1"/>
    <col min="57" max="61" width="9" style="355"/>
    <col min="62" max="16384" width="9" style="10"/>
  </cols>
  <sheetData>
    <row r="1" ht="38.1" customHeight="1" spans="1:61">
      <c r="A1" s="158" t="s">
        <v>92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322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356"/>
      <c r="AU1" s="356"/>
      <c r="AV1" s="356"/>
      <c r="AW1" s="356"/>
      <c r="AX1" s="356"/>
      <c r="AY1" s="356"/>
      <c r="AZ1" s="356"/>
      <c r="BA1" s="356"/>
      <c r="BB1" s="356"/>
      <c r="BC1" s="356"/>
      <c r="BD1" s="356"/>
      <c r="BE1" s="356"/>
      <c r="BF1" s="356"/>
      <c r="BG1" s="356"/>
      <c r="BH1" s="356"/>
      <c r="BI1" s="356"/>
    </row>
    <row r="2" s="2" customFormat="1" ht="21.95" customHeight="1" spans="1:61">
      <c r="A2" s="323" t="s">
        <v>1</v>
      </c>
      <c r="B2" s="160" t="s">
        <v>2</v>
      </c>
      <c r="C2" s="161"/>
      <c r="D2" s="161"/>
      <c r="E2" s="161"/>
      <c r="F2" s="161"/>
      <c r="G2" s="161"/>
      <c r="H2" s="161"/>
      <c r="I2" s="161"/>
      <c r="J2" s="163"/>
      <c r="K2" s="160" t="s">
        <v>3</v>
      </c>
      <c r="L2" s="161"/>
      <c r="M2" s="161"/>
      <c r="N2" s="161"/>
      <c r="O2" s="161"/>
      <c r="P2" s="161"/>
      <c r="Q2" s="161"/>
      <c r="R2" s="324"/>
      <c r="S2" s="163"/>
      <c r="T2" s="160" t="s">
        <v>4</v>
      </c>
      <c r="U2" s="161"/>
      <c r="V2" s="161"/>
      <c r="W2" s="161"/>
      <c r="X2" s="161"/>
      <c r="Y2" s="161"/>
      <c r="Z2" s="161"/>
      <c r="AA2" s="161"/>
      <c r="AB2" s="163"/>
      <c r="AC2" s="164" t="s">
        <v>5</v>
      </c>
      <c r="AD2" s="165"/>
      <c r="AE2" s="165"/>
      <c r="AF2" s="165"/>
      <c r="AG2" s="165"/>
      <c r="AH2" s="165"/>
      <c r="AI2" s="165"/>
      <c r="AJ2" s="165"/>
      <c r="AK2" s="166"/>
      <c r="AL2" s="325" t="s">
        <v>6</v>
      </c>
      <c r="AM2" s="165"/>
      <c r="AN2" s="165"/>
      <c r="AO2" s="165"/>
      <c r="AP2" s="165"/>
      <c r="AQ2" s="165"/>
      <c r="AR2" s="165"/>
      <c r="AS2" s="166"/>
      <c r="AT2" s="357"/>
      <c r="AU2" s="357"/>
      <c r="AV2" s="357"/>
      <c r="AW2" s="357"/>
      <c r="AX2" s="357"/>
      <c r="AY2" s="357"/>
      <c r="AZ2" s="357"/>
      <c r="BA2" s="357"/>
      <c r="BB2" s="357"/>
      <c r="BC2" s="357"/>
      <c r="BD2" s="357"/>
      <c r="BE2" s="357"/>
      <c r="BF2" s="357"/>
      <c r="BG2" s="357"/>
      <c r="BH2" s="357"/>
      <c r="BI2" s="357"/>
    </row>
    <row r="3" s="2" customFormat="1" ht="21.95" customHeight="1" spans="1:61">
      <c r="A3" s="326" t="s">
        <v>7</v>
      </c>
      <c r="B3" s="327" t="s">
        <v>8</v>
      </c>
      <c r="C3" s="328"/>
      <c r="D3" s="328"/>
      <c r="E3" s="328"/>
      <c r="F3" s="328"/>
      <c r="G3" s="328" t="s">
        <v>9</v>
      </c>
      <c r="H3" s="328"/>
      <c r="I3" s="328"/>
      <c r="J3" s="329"/>
      <c r="K3" s="327" t="s">
        <v>8</v>
      </c>
      <c r="L3" s="328"/>
      <c r="M3" s="328"/>
      <c r="N3" s="328"/>
      <c r="O3" s="328"/>
      <c r="P3" s="328" t="s">
        <v>9</v>
      </c>
      <c r="Q3" s="328"/>
      <c r="R3" s="330"/>
      <c r="S3" s="329"/>
      <c r="T3" s="327" t="s">
        <v>8</v>
      </c>
      <c r="U3" s="328"/>
      <c r="V3" s="328"/>
      <c r="W3" s="328"/>
      <c r="X3" s="328"/>
      <c r="Y3" s="328" t="s">
        <v>9</v>
      </c>
      <c r="Z3" s="328"/>
      <c r="AA3" s="328"/>
      <c r="AB3" s="329"/>
      <c r="AC3" s="327" t="s">
        <v>8</v>
      </c>
      <c r="AD3" s="328"/>
      <c r="AE3" s="328"/>
      <c r="AF3" s="328"/>
      <c r="AG3" s="328"/>
      <c r="AH3" s="328" t="s">
        <v>9</v>
      </c>
      <c r="AI3" s="328"/>
      <c r="AJ3" s="328"/>
      <c r="AK3" s="329"/>
      <c r="AL3" s="331" t="s">
        <v>8</v>
      </c>
      <c r="AM3" s="328"/>
      <c r="AN3" s="328"/>
      <c r="AO3" s="328"/>
      <c r="AP3" s="328"/>
      <c r="AQ3" s="328" t="s">
        <v>9</v>
      </c>
      <c r="AR3" s="328"/>
      <c r="AS3" s="329"/>
      <c r="AT3" s="100">
        <v>6</v>
      </c>
      <c r="AU3" s="100">
        <v>5</v>
      </c>
      <c r="AV3" s="100">
        <v>5</v>
      </c>
      <c r="AW3" s="100">
        <v>2</v>
      </c>
      <c r="AX3" s="100">
        <v>2</v>
      </c>
      <c r="AY3" s="100">
        <v>3</v>
      </c>
      <c r="AZ3" s="100">
        <v>3</v>
      </c>
      <c r="BA3" s="100">
        <v>3</v>
      </c>
      <c r="BB3" s="100">
        <v>1</v>
      </c>
      <c r="BC3" s="100">
        <v>1</v>
      </c>
      <c r="BD3" s="100">
        <v>1</v>
      </c>
      <c r="BE3" s="100">
        <v>0.5</v>
      </c>
      <c r="BF3" s="100">
        <v>1</v>
      </c>
      <c r="BG3" s="100">
        <v>1</v>
      </c>
      <c r="BH3" s="100">
        <v>1</v>
      </c>
      <c r="BI3" s="100">
        <v>2</v>
      </c>
    </row>
    <row r="4" s="26" customFormat="1" ht="47.1" customHeight="1" spans="1:61">
      <c r="A4" s="332" t="s">
        <v>10</v>
      </c>
      <c r="B4" s="333">
        <v>1</v>
      </c>
      <c r="C4" s="334">
        <v>2</v>
      </c>
      <c r="D4" s="334">
        <v>3</v>
      </c>
      <c r="E4" s="334">
        <v>4</v>
      </c>
      <c r="F4" s="334">
        <v>5</v>
      </c>
      <c r="G4" s="334">
        <v>6</v>
      </c>
      <c r="H4" s="334">
        <v>7</v>
      </c>
      <c r="I4" s="334">
        <v>8</v>
      </c>
      <c r="J4" s="335" t="s">
        <v>11</v>
      </c>
      <c r="K4" s="333">
        <v>1</v>
      </c>
      <c r="L4" s="334">
        <v>2</v>
      </c>
      <c r="M4" s="334">
        <v>3</v>
      </c>
      <c r="N4" s="334">
        <v>4</v>
      </c>
      <c r="O4" s="334">
        <v>5</v>
      </c>
      <c r="P4" s="334">
        <v>6</v>
      </c>
      <c r="Q4" s="334">
        <v>7</v>
      </c>
      <c r="R4" s="336">
        <v>8</v>
      </c>
      <c r="S4" s="335" t="s">
        <v>11</v>
      </c>
      <c r="T4" s="333">
        <v>1</v>
      </c>
      <c r="U4" s="334">
        <v>2</v>
      </c>
      <c r="V4" s="334">
        <v>3</v>
      </c>
      <c r="W4" s="334">
        <v>4</v>
      </c>
      <c r="X4" s="334">
        <v>5</v>
      </c>
      <c r="Y4" s="334">
        <v>6</v>
      </c>
      <c r="Z4" s="334">
        <v>7</v>
      </c>
      <c r="AA4" s="334">
        <v>8</v>
      </c>
      <c r="AB4" s="335" t="s">
        <v>11</v>
      </c>
      <c r="AC4" s="333">
        <v>1</v>
      </c>
      <c r="AD4" s="334">
        <v>2</v>
      </c>
      <c r="AE4" s="334">
        <v>3</v>
      </c>
      <c r="AF4" s="334">
        <v>4</v>
      </c>
      <c r="AG4" s="334">
        <v>5</v>
      </c>
      <c r="AH4" s="334">
        <v>6</v>
      </c>
      <c r="AI4" s="334">
        <v>7</v>
      </c>
      <c r="AJ4" s="334">
        <v>8</v>
      </c>
      <c r="AK4" s="335" t="s">
        <v>11</v>
      </c>
      <c r="AL4" s="337">
        <v>1</v>
      </c>
      <c r="AM4" s="334">
        <v>2</v>
      </c>
      <c r="AN4" s="334">
        <v>3</v>
      </c>
      <c r="AO4" s="334">
        <v>4</v>
      </c>
      <c r="AP4" s="334">
        <v>5</v>
      </c>
      <c r="AQ4" s="334">
        <v>6</v>
      </c>
      <c r="AR4" s="334">
        <v>7</v>
      </c>
      <c r="AS4" s="338">
        <v>8</v>
      </c>
      <c r="AT4" s="122" t="s">
        <v>12</v>
      </c>
      <c r="AU4" s="122" t="s">
        <v>13</v>
      </c>
      <c r="AV4" s="122" t="s">
        <v>14</v>
      </c>
      <c r="AW4" s="122" t="s">
        <v>15</v>
      </c>
      <c r="AX4" s="122" t="s">
        <v>16</v>
      </c>
      <c r="AY4" s="122" t="s">
        <v>17</v>
      </c>
      <c r="AZ4" s="122" t="s">
        <v>18</v>
      </c>
      <c r="BA4" s="122" t="s">
        <v>19</v>
      </c>
      <c r="BB4" s="122" t="s">
        <v>20</v>
      </c>
      <c r="BC4" s="122" t="s">
        <v>21</v>
      </c>
      <c r="BD4" s="122" t="s">
        <v>22</v>
      </c>
      <c r="BE4" s="122" t="s">
        <v>23</v>
      </c>
      <c r="BF4" s="122" t="s">
        <v>24</v>
      </c>
      <c r="BG4" s="122" t="s">
        <v>25</v>
      </c>
      <c r="BH4" s="122" t="s">
        <v>26</v>
      </c>
      <c r="BI4" s="122" t="s">
        <v>27</v>
      </c>
    </row>
    <row r="5" s="26" customFormat="1" ht="47.1" customHeight="1" spans="1:61">
      <c r="A5" s="339" t="s">
        <v>28</v>
      </c>
      <c r="B5" s="24" t="s">
        <v>12</v>
      </c>
      <c r="C5" s="24" t="s">
        <v>30</v>
      </c>
      <c r="D5" s="24" t="s">
        <v>29</v>
      </c>
      <c r="E5" s="24" t="s">
        <v>14</v>
      </c>
      <c r="F5" s="24" t="s">
        <v>31</v>
      </c>
      <c r="G5" s="24" t="s">
        <v>32</v>
      </c>
      <c r="H5" s="24" t="s">
        <v>33</v>
      </c>
      <c r="I5" s="340" t="s">
        <v>34</v>
      </c>
      <c r="J5" s="341"/>
      <c r="K5" s="24" t="s">
        <v>35</v>
      </c>
      <c r="L5" s="24" t="s">
        <v>14</v>
      </c>
      <c r="M5" s="24" t="s">
        <v>12</v>
      </c>
      <c r="N5" s="24" t="s">
        <v>12</v>
      </c>
      <c r="O5" s="340" t="s">
        <v>36</v>
      </c>
      <c r="P5" s="24" t="s">
        <v>32</v>
      </c>
      <c r="Q5" s="24" t="s">
        <v>32</v>
      </c>
      <c r="R5" s="340" t="s">
        <v>37</v>
      </c>
      <c r="S5" s="37"/>
      <c r="T5" s="24" t="s">
        <v>29</v>
      </c>
      <c r="U5" s="24" t="s">
        <v>33</v>
      </c>
      <c r="V5" s="24" t="s">
        <v>12</v>
      </c>
      <c r="W5" s="24" t="s">
        <v>14</v>
      </c>
      <c r="X5" s="24" t="s">
        <v>26</v>
      </c>
      <c r="Y5" s="24" t="s">
        <v>32</v>
      </c>
      <c r="Z5" s="24" t="s">
        <v>38</v>
      </c>
      <c r="AA5" s="24" t="s">
        <v>30</v>
      </c>
      <c r="AB5" s="37"/>
      <c r="AC5" s="24" t="s">
        <v>35</v>
      </c>
      <c r="AD5" s="360" t="s">
        <v>14</v>
      </c>
      <c r="AE5" s="361" t="s">
        <v>39</v>
      </c>
      <c r="AF5" s="24" t="s">
        <v>12</v>
      </c>
      <c r="AG5" s="24" t="s">
        <v>40</v>
      </c>
      <c r="AH5" s="24" t="s">
        <v>36</v>
      </c>
      <c r="AI5" s="24" t="s">
        <v>32</v>
      </c>
      <c r="AJ5" s="340" t="s">
        <v>41</v>
      </c>
      <c r="AK5" s="37"/>
      <c r="AL5" s="24" t="s">
        <v>42</v>
      </c>
      <c r="AM5" s="24" t="s">
        <v>32</v>
      </c>
      <c r="AN5" s="340" t="s">
        <v>43</v>
      </c>
      <c r="AO5" s="24" t="s">
        <v>14</v>
      </c>
      <c r="AP5" s="24" t="s">
        <v>29</v>
      </c>
      <c r="AQ5" s="24" t="s">
        <v>12</v>
      </c>
      <c r="AR5" s="24" t="s">
        <v>30</v>
      </c>
      <c r="AS5" s="24" t="s">
        <v>33</v>
      </c>
      <c r="AT5" s="358">
        <f t="shared" ref="AT5:AT30" si="0">COUNTIF(B5:AS5,"语")</f>
        <v>6</v>
      </c>
      <c r="AU5" s="358">
        <f t="shared" ref="AU5:AU30" si="1">COUNTIF(B5:AS5,"数")</f>
        <v>6</v>
      </c>
      <c r="AV5" s="358">
        <f t="shared" ref="AV5:AV30" si="2">COUNTIF(B5:AS5,"英")</f>
        <v>5</v>
      </c>
      <c r="AW5" s="358">
        <f t="shared" ref="AW5:AW30" si="3">COUNTIF(B5:AS5,"政")</f>
        <v>2</v>
      </c>
      <c r="AX5" s="358">
        <f t="shared" ref="AX5:AX30" si="4">COUNTIF(B5:AS5,"历")</f>
        <v>2</v>
      </c>
      <c r="AY5" s="358">
        <f t="shared" ref="AY5:AY30" si="5">COUNTIF(B5:AS5,"地")</f>
        <v>3</v>
      </c>
      <c r="AZ5" s="358">
        <f t="shared" ref="AZ5:AZ30" si="6">COUNTIF(B5:AS5,"生")</f>
        <v>3</v>
      </c>
      <c r="BA5" s="358">
        <f t="shared" ref="BA5:BA30" si="7">COUNTIF(B5:AS5,"体")</f>
        <v>3</v>
      </c>
      <c r="BB5" s="358">
        <f t="shared" ref="BB5:BB30" si="8">COUNTIF(B5:AS5,"音")</f>
        <v>1</v>
      </c>
      <c r="BC5" s="358">
        <f t="shared" ref="BC5:BC30" si="9">COUNTIF(B5:AS5,"美")</f>
        <v>1</v>
      </c>
      <c r="BD5" s="358">
        <f t="shared" ref="BD5:BD30" si="10">COUNTIF(B5:AS5,"信")</f>
        <v>1</v>
      </c>
      <c r="BE5" s="358">
        <f t="shared" ref="BE5:BE30" si="11">COUNTIF(B5:AS5,"心综")</f>
        <v>1</v>
      </c>
      <c r="BF5" s="358">
        <f t="shared" ref="BF5:BF30" si="12">COUNTIF(B5:AS5,"班")</f>
        <v>1</v>
      </c>
      <c r="BG5" s="358">
        <f t="shared" ref="BG5:BG30" si="13">COUNTIF(B5:AS5,"劳")</f>
        <v>1</v>
      </c>
      <c r="BH5" s="358">
        <f t="shared" ref="BH5:BH30" si="14">COUNTIF(B5:AS5,"听说")</f>
        <v>1</v>
      </c>
      <c r="BI5" s="358">
        <f t="shared" ref="BI5:BI30" si="15">COUNTIF(B5:AS5,"综实")</f>
        <v>0</v>
      </c>
    </row>
    <row r="6" s="26" customFormat="1" ht="47.1" customHeight="1" spans="1:61">
      <c r="A6" s="343" t="s">
        <v>44</v>
      </c>
      <c r="B6" s="25" t="s">
        <v>14</v>
      </c>
      <c r="C6" s="25" t="s">
        <v>12</v>
      </c>
      <c r="D6" s="25" t="s">
        <v>30</v>
      </c>
      <c r="E6" s="25" t="s">
        <v>32</v>
      </c>
      <c r="F6" s="25" t="s">
        <v>45</v>
      </c>
      <c r="G6" s="25" t="s">
        <v>33</v>
      </c>
      <c r="H6" s="12" t="s">
        <v>43</v>
      </c>
      <c r="I6" s="344" t="s">
        <v>34</v>
      </c>
      <c r="J6" s="37"/>
      <c r="K6" s="25" t="s">
        <v>32</v>
      </c>
      <c r="L6" s="25" t="s">
        <v>35</v>
      </c>
      <c r="M6" s="24" t="s">
        <v>36</v>
      </c>
      <c r="N6" s="25" t="s">
        <v>14</v>
      </c>
      <c r="O6" s="25" t="s">
        <v>26</v>
      </c>
      <c r="P6" s="25" t="s">
        <v>12</v>
      </c>
      <c r="Q6" s="25" t="s">
        <v>12</v>
      </c>
      <c r="R6" s="344" t="s">
        <v>37</v>
      </c>
      <c r="S6" s="37"/>
      <c r="T6" s="25" t="s">
        <v>14</v>
      </c>
      <c r="U6" s="25" t="s">
        <v>31</v>
      </c>
      <c r="V6" s="25" t="s">
        <v>33</v>
      </c>
      <c r="W6" s="25" t="s">
        <v>29</v>
      </c>
      <c r="X6" s="25" t="s">
        <v>12</v>
      </c>
      <c r="Y6" s="25" t="s">
        <v>30</v>
      </c>
      <c r="Z6" s="25" t="s">
        <v>35</v>
      </c>
      <c r="AA6" s="25" t="s">
        <v>32</v>
      </c>
      <c r="AB6" s="37"/>
      <c r="AC6" s="25" t="s">
        <v>12</v>
      </c>
      <c r="AD6" s="25" t="s">
        <v>32</v>
      </c>
      <c r="AE6" s="25" t="s">
        <v>45</v>
      </c>
      <c r="AF6" s="25" t="s">
        <v>14</v>
      </c>
      <c r="AG6" s="25" t="s">
        <v>30</v>
      </c>
      <c r="AH6" s="25" t="s">
        <v>29</v>
      </c>
      <c r="AI6" s="25" t="s">
        <v>39</v>
      </c>
      <c r="AJ6" s="344" t="s">
        <v>41</v>
      </c>
      <c r="AK6" s="37"/>
      <c r="AL6" s="25" t="s">
        <v>29</v>
      </c>
      <c r="AM6" s="25" t="s">
        <v>38</v>
      </c>
      <c r="AN6" s="24" t="s">
        <v>32</v>
      </c>
      <c r="AO6" s="25" t="s">
        <v>40</v>
      </c>
      <c r="AP6" s="25" t="s">
        <v>14</v>
      </c>
      <c r="AQ6" s="25" t="s">
        <v>36</v>
      </c>
      <c r="AR6" s="25" t="s">
        <v>33</v>
      </c>
      <c r="AS6" s="25" t="s">
        <v>12</v>
      </c>
      <c r="AT6" s="358">
        <f t="shared" si="0"/>
        <v>6</v>
      </c>
      <c r="AU6" s="358">
        <f t="shared" si="1"/>
        <v>5</v>
      </c>
      <c r="AV6" s="358">
        <f t="shared" si="2"/>
        <v>5</v>
      </c>
      <c r="AW6" s="358">
        <f t="shared" si="3"/>
        <v>2</v>
      </c>
      <c r="AX6" s="358">
        <f t="shared" si="4"/>
        <v>2</v>
      </c>
      <c r="AY6" s="358">
        <f t="shared" si="5"/>
        <v>3</v>
      </c>
      <c r="AZ6" s="358">
        <f t="shared" si="6"/>
        <v>3</v>
      </c>
      <c r="BA6" s="358">
        <f t="shared" si="7"/>
        <v>3</v>
      </c>
      <c r="BB6" s="358">
        <f t="shared" si="8"/>
        <v>1</v>
      </c>
      <c r="BC6" s="358">
        <f t="shared" si="9"/>
        <v>1</v>
      </c>
      <c r="BD6" s="358">
        <f t="shared" si="10"/>
        <v>1</v>
      </c>
      <c r="BE6" s="358">
        <f t="shared" si="11"/>
        <v>1</v>
      </c>
      <c r="BF6" s="358">
        <f t="shared" si="12"/>
        <v>1</v>
      </c>
      <c r="BG6" s="358">
        <f t="shared" si="13"/>
        <v>1</v>
      </c>
      <c r="BH6" s="358">
        <f t="shared" si="14"/>
        <v>1</v>
      </c>
      <c r="BI6" s="358">
        <f t="shared" si="15"/>
        <v>0</v>
      </c>
    </row>
    <row r="7" s="26" customFormat="1" ht="47.1" customHeight="1" spans="1:61">
      <c r="A7" s="343" t="s">
        <v>46</v>
      </c>
      <c r="B7" s="25" t="s">
        <v>33</v>
      </c>
      <c r="C7" s="25" t="s">
        <v>36</v>
      </c>
      <c r="D7" s="25" t="s">
        <v>35</v>
      </c>
      <c r="E7" s="25" t="s">
        <v>32</v>
      </c>
      <c r="F7" s="25" t="s">
        <v>38</v>
      </c>
      <c r="G7" s="25" t="s">
        <v>14</v>
      </c>
      <c r="H7" s="25" t="s">
        <v>12</v>
      </c>
      <c r="I7" s="344" t="s">
        <v>34</v>
      </c>
      <c r="J7" s="12"/>
      <c r="K7" s="25" t="s">
        <v>29</v>
      </c>
      <c r="L7" s="25" t="s">
        <v>14</v>
      </c>
      <c r="M7" s="360" t="s">
        <v>47</v>
      </c>
      <c r="N7" s="362" t="s">
        <v>32</v>
      </c>
      <c r="O7" s="362" t="s">
        <v>33</v>
      </c>
      <c r="P7" s="25" t="s">
        <v>12</v>
      </c>
      <c r="Q7" s="25" t="s">
        <v>12</v>
      </c>
      <c r="R7" s="344" t="s">
        <v>37</v>
      </c>
      <c r="S7" s="12"/>
      <c r="T7" s="12" t="s">
        <v>39</v>
      </c>
      <c r="U7" s="25" t="s">
        <v>29</v>
      </c>
      <c r="V7" s="25" t="s">
        <v>14</v>
      </c>
      <c r="W7" s="25" t="s">
        <v>30</v>
      </c>
      <c r="X7" s="25" t="s">
        <v>12</v>
      </c>
      <c r="Y7" s="25" t="s">
        <v>36</v>
      </c>
      <c r="Z7" s="25" t="s">
        <v>32</v>
      </c>
      <c r="AA7" s="25" t="s">
        <v>35</v>
      </c>
      <c r="AB7" s="37"/>
      <c r="AC7" s="25" t="s">
        <v>33</v>
      </c>
      <c r="AD7" s="25" t="s">
        <v>12</v>
      </c>
      <c r="AE7" s="25" t="s">
        <v>30</v>
      </c>
      <c r="AF7" s="25" t="s">
        <v>32</v>
      </c>
      <c r="AG7" s="25" t="s">
        <v>47</v>
      </c>
      <c r="AH7" s="25" t="s">
        <v>14</v>
      </c>
      <c r="AI7" s="25" t="s">
        <v>26</v>
      </c>
      <c r="AJ7" s="344" t="s">
        <v>41</v>
      </c>
      <c r="AK7" s="12"/>
      <c r="AL7" s="25" t="s">
        <v>43</v>
      </c>
      <c r="AM7" s="25" t="s">
        <v>31</v>
      </c>
      <c r="AN7" s="25" t="s">
        <v>32</v>
      </c>
      <c r="AO7" s="25" t="s">
        <v>14</v>
      </c>
      <c r="AP7" s="25" t="s">
        <v>30</v>
      </c>
      <c r="AQ7" s="25" t="s">
        <v>40</v>
      </c>
      <c r="AR7" s="25" t="s">
        <v>29</v>
      </c>
      <c r="AS7" s="25" t="s">
        <v>12</v>
      </c>
      <c r="AT7" s="358">
        <f t="shared" si="0"/>
        <v>6</v>
      </c>
      <c r="AU7" s="358">
        <f t="shared" si="1"/>
        <v>5</v>
      </c>
      <c r="AV7" s="358">
        <f t="shared" si="2"/>
        <v>5</v>
      </c>
      <c r="AW7" s="358">
        <f t="shared" si="3"/>
        <v>2</v>
      </c>
      <c r="AX7" s="358">
        <f t="shared" si="4"/>
        <v>2</v>
      </c>
      <c r="AY7" s="358">
        <f t="shared" si="5"/>
        <v>3</v>
      </c>
      <c r="AZ7" s="358">
        <f t="shared" si="6"/>
        <v>3</v>
      </c>
      <c r="BA7" s="358">
        <f t="shared" si="7"/>
        <v>3</v>
      </c>
      <c r="BB7" s="358">
        <f t="shared" si="8"/>
        <v>1</v>
      </c>
      <c r="BC7" s="358">
        <f t="shared" si="9"/>
        <v>1</v>
      </c>
      <c r="BD7" s="358">
        <f t="shared" si="10"/>
        <v>1</v>
      </c>
      <c r="BE7" s="358">
        <f t="shared" si="11"/>
        <v>1</v>
      </c>
      <c r="BF7" s="358">
        <f t="shared" si="12"/>
        <v>1</v>
      </c>
      <c r="BG7" s="358">
        <f t="shared" si="13"/>
        <v>1</v>
      </c>
      <c r="BH7" s="358">
        <f t="shared" si="14"/>
        <v>1</v>
      </c>
      <c r="BI7" s="358">
        <f t="shared" si="15"/>
        <v>0</v>
      </c>
    </row>
    <row r="8" s="26" customFormat="1" ht="47.1" customHeight="1" spans="1:61">
      <c r="A8" s="343" t="s">
        <v>48</v>
      </c>
      <c r="B8" s="25" t="s">
        <v>32</v>
      </c>
      <c r="C8" s="25" t="s">
        <v>31</v>
      </c>
      <c r="D8" s="25" t="s">
        <v>12</v>
      </c>
      <c r="E8" s="25" t="s">
        <v>29</v>
      </c>
      <c r="F8" s="25" t="s">
        <v>33</v>
      </c>
      <c r="G8" s="25" t="s">
        <v>30</v>
      </c>
      <c r="H8" s="25" t="s">
        <v>14</v>
      </c>
      <c r="I8" s="344" t="s">
        <v>34</v>
      </c>
      <c r="J8" s="12"/>
      <c r="K8" s="25" t="s">
        <v>12</v>
      </c>
      <c r="L8" s="25" t="s">
        <v>12</v>
      </c>
      <c r="M8" s="25" t="s">
        <v>29</v>
      </c>
      <c r="N8" s="25" t="s">
        <v>14</v>
      </c>
      <c r="O8" s="362" t="s">
        <v>35</v>
      </c>
      <c r="P8" s="25" t="s">
        <v>32</v>
      </c>
      <c r="Q8" s="25" t="s">
        <v>47</v>
      </c>
      <c r="R8" s="344" t="s">
        <v>37</v>
      </c>
      <c r="S8" s="12"/>
      <c r="T8" s="25" t="s">
        <v>14</v>
      </c>
      <c r="U8" s="25" t="s">
        <v>30</v>
      </c>
      <c r="V8" s="25" t="s">
        <v>12</v>
      </c>
      <c r="W8" s="360" t="s">
        <v>43</v>
      </c>
      <c r="X8" s="25" t="s">
        <v>40</v>
      </c>
      <c r="Y8" s="25" t="s">
        <v>33</v>
      </c>
      <c r="Z8" s="12" t="s">
        <v>36</v>
      </c>
      <c r="AA8" s="25" t="s">
        <v>32</v>
      </c>
      <c r="AB8" s="37"/>
      <c r="AC8" s="25" t="s">
        <v>32</v>
      </c>
      <c r="AD8" s="25" t="s">
        <v>47</v>
      </c>
      <c r="AE8" s="25" t="s">
        <v>14</v>
      </c>
      <c r="AF8" s="25" t="s">
        <v>26</v>
      </c>
      <c r="AG8" s="25" t="s">
        <v>39</v>
      </c>
      <c r="AH8" s="25" t="s">
        <v>12</v>
      </c>
      <c r="AI8" s="25" t="s">
        <v>30</v>
      </c>
      <c r="AJ8" s="344" t="s">
        <v>41</v>
      </c>
      <c r="AK8" s="37"/>
      <c r="AL8" s="25" t="s">
        <v>32</v>
      </c>
      <c r="AM8" s="25" t="s">
        <v>35</v>
      </c>
      <c r="AN8" s="25" t="s">
        <v>14</v>
      </c>
      <c r="AO8" s="25" t="s">
        <v>33</v>
      </c>
      <c r="AP8" s="25" t="s">
        <v>38</v>
      </c>
      <c r="AQ8" s="25" t="s">
        <v>12</v>
      </c>
      <c r="AR8" s="25" t="s">
        <v>36</v>
      </c>
      <c r="AS8" s="25" t="s">
        <v>29</v>
      </c>
      <c r="AT8" s="358">
        <f t="shared" si="0"/>
        <v>6</v>
      </c>
      <c r="AU8" s="358">
        <f t="shared" si="1"/>
        <v>5</v>
      </c>
      <c r="AV8" s="358">
        <f t="shared" si="2"/>
        <v>5</v>
      </c>
      <c r="AW8" s="358">
        <f t="shared" si="3"/>
        <v>2</v>
      </c>
      <c r="AX8" s="358">
        <f t="shared" si="4"/>
        <v>2</v>
      </c>
      <c r="AY8" s="358">
        <f t="shared" si="5"/>
        <v>3</v>
      </c>
      <c r="AZ8" s="358">
        <f t="shared" si="6"/>
        <v>3</v>
      </c>
      <c r="BA8" s="358">
        <f t="shared" si="7"/>
        <v>3</v>
      </c>
      <c r="BB8" s="358">
        <f t="shared" si="8"/>
        <v>1</v>
      </c>
      <c r="BC8" s="358">
        <f t="shared" si="9"/>
        <v>1</v>
      </c>
      <c r="BD8" s="358">
        <f t="shared" si="10"/>
        <v>1</v>
      </c>
      <c r="BE8" s="358">
        <f t="shared" si="11"/>
        <v>1</v>
      </c>
      <c r="BF8" s="358">
        <f t="shared" si="12"/>
        <v>1</v>
      </c>
      <c r="BG8" s="358">
        <f t="shared" si="13"/>
        <v>1</v>
      </c>
      <c r="BH8" s="358">
        <f t="shared" si="14"/>
        <v>1</v>
      </c>
      <c r="BI8" s="358">
        <f t="shared" si="15"/>
        <v>0</v>
      </c>
    </row>
    <row r="9" s="26" customFormat="1" ht="47.1" customHeight="1" spans="1:61">
      <c r="A9" s="343" t="s">
        <v>49</v>
      </c>
      <c r="B9" s="25" t="s">
        <v>35</v>
      </c>
      <c r="C9" s="25" t="s">
        <v>12</v>
      </c>
      <c r="D9" s="25" t="s">
        <v>14</v>
      </c>
      <c r="E9" s="25" t="s">
        <v>33</v>
      </c>
      <c r="F9" s="25" t="s">
        <v>29</v>
      </c>
      <c r="G9" s="25" t="s">
        <v>32</v>
      </c>
      <c r="H9" s="25" t="s">
        <v>30</v>
      </c>
      <c r="I9" s="344" t="s">
        <v>34</v>
      </c>
      <c r="J9" s="12"/>
      <c r="K9" s="25" t="s">
        <v>29</v>
      </c>
      <c r="L9" s="25" t="s">
        <v>12</v>
      </c>
      <c r="M9" s="25" t="s">
        <v>32</v>
      </c>
      <c r="N9" s="25" t="s">
        <v>50</v>
      </c>
      <c r="O9" s="344" t="s">
        <v>39</v>
      </c>
      <c r="P9" s="25" t="s">
        <v>14</v>
      </c>
      <c r="Q9" s="25" t="s">
        <v>26</v>
      </c>
      <c r="R9" s="344" t="s">
        <v>37</v>
      </c>
      <c r="S9" s="12"/>
      <c r="T9" s="25" t="s">
        <v>36</v>
      </c>
      <c r="U9" s="25" t="s">
        <v>14</v>
      </c>
      <c r="V9" s="25" t="s">
        <v>38</v>
      </c>
      <c r="W9" s="25" t="s">
        <v>12</v>
      </c>
      <c r="X9" s="25" t="s">
        <v>12</v>
      </c>
      <c r="Y9" s="25" t="s">
        <v>32</v>
      </c>
      <c r="Z9" s="25" t="s">
        <v>35</v>
      </c>
      <c r="AA9" s="25" t="s">
        <v>30</v>
      </c>
      <c r="AB9" s="12"/>
      <c r="AC9" s="25" t="s">
        <v>43</v>
      </c>
      <c r="AD9" s="12" t="s">
        <v>30</v>
      </c>
      <c r="AE9" s="25" t="s">
        <v>12</v>
      </c>
      <c r="AF9" s="25" t="s">
        <v>14</v>
      </c>
      <c r="AG9" s="25" t="s">
        <v>33</v>
      </c>
      <c r="AH9" s="25" t="s">
        <v>32</v>
      </c>
      <c r="AI9" s="25" t="s">
        <v>40</v>
      </c>
      <c r="AJ9" s="344" t="s">
        <v>41</v>
      </c>
      <c r="AK9" s="37"/>
      <c r="AL9" s="25" t="s">
        <v>32</v>
      </c>
      <c r="AM9" s="25" t="s">
        <v>50</v>
      </c>
      <c r="AN9" s="25" t="s">
        <v>31</v>
      </c>
      <c r="AO9" s="25" t="s">
        <v>14</v>
      </c>
      <c r="AP9" s="25" t="s">
        <v>29</v>
      </c>
      <c r="AQ9" s="25" t="s">
        <v>33</v>
      </c>
      <c r="AR9" s="25" t="s">
        <v>12</v>
      </c>
      <c r="AS9" s="25" t="s">
        <v>36</v>
      </c>
      <c r="AT9" s="358">
        <f t="shared" si="0"/>
        <v>6</v>
      </c>
      <c r="AU9" s="358">
        <f t="shared" si="1"/>
        <v>5</v>
      </c>
      <c r="AV9" s="358">
        <f t="shared" si="2"/>
        <v>5</v>
      </c>
      <c r="AW9" s="358">
        <f t="shared" si="3"/>
        <v>2</v>
      </c>
      <c r="AX9" s="358">
        <f t="shared" si="4"/>
        <v>2</v>
      </c>
      <c r="AY9" s="358">
        <f t="shared" si="5"/>
        <v>3</v>
      </c>
      <c r="AZ9" s="358">
        <f t="shared" si="6"/>
        <v>3</v>
      </c>
      <c r="BA9" s="358">
        <f t="shared" si="7"/>
        <v>3</v>
      </c>
      <c r="BB9" s="358">
        <f t="shared" si="8"/>
        <v>1</v>
      </c>
      <c r="BC9" s="358">
        <f t="shared" si="9"/>
        <v>1</v>
      </c>
      <c r="BD9" s="358">
        <f t="shared" si="10"/>
        <v>1</v>
      </c>
      <c r="BE9" s="358">
        <f t="shared" si="11"/>
        <v>1</v>
      </c>
      <c r="BF9" s="358">
        <f t="shared" si="12"/>
        <v>1</v>
      </c>
      <c r="BG9" s="358">
        <f t="shared" si="13"/>
        <v>1</v>
      </c>
      <c r="BH9" s="358">
        <f t="shared" si="14"/>
        <v>1</v>
      </c>
      <c r="BI9" s="358">
        <f t="shared" si="15"/>
        <v>0</v>
      </c>
    </row>
    <row r="10" s="26" customFormat="1" ht="47.1" customHeight="1" spans="1:61">
      <c r="A10" s="343" t="s">
        <v>51</v>
      </c>
      <c r="B10" s="25" t="s">
        <v>31</v>
      </c>
      <c r="C10" s="25" t="s">
        <v>29</v>
      </c>
      <c r="D10" s="25" t="s">
        <v>12</v>
      </c>
      <c r="E10" s="25" t="s">
        <v>32</v>
      </c>
      <c r="F10" s="25" t="s">
        <v>35</v>
      </c>
      <c r="G10" s="25" t="s">
        <v>14</v>
      </c>
      <c r="H10" s="25" t="s">
        <v>36</v>
      </c>
      <c r="I10" s="344" t="s">
        <v>34</v>
      </c>
      <c r="J10" s="12"/>
      <c r="K10" s="25" t="s">
        <v>14</v>
      </c>
      <c r="L10" s="25" t="s">
        <v>26</v>
      </c>
      <c r="M10" s="360" t="s">
        <v>33</v>
      </c>
      <c r="N10" s="25" t="s">
        <v>12</v>
      </c>
      <c r="O10" s="360" t="s">
        <v>29</v>
      </c>
      <c r="P10" s="25" t="s">
        <v>32</v>
      </c>
      <c r="Q10" s="25" t="s">
        <v>50</v>
      </c>
      <c r="R10" s="344" t="s">
        <v>37</v>
      </c>
      <c r="S10" s="12"/>
      <c r="T10" s="25" t="s">
        <v>12</v>
      </c>
      <c r="U10" s="25" t="s">
        <v>12</v>
      </c>
      <c r="V10" s="25" t="s">
        <v>14</v>
      </c>
      <c r="W10" s="25" t="s">
        <v>30</v>
      </c>
      <c r="X10" s="25" t="s">
        <v>36</v>
      </c>
      <c r="Y10" s="25" t="s">
        <v>35</v>
      </c>
      <c r="Z10" s="12" t="s">
        <v>40</v>
      </c>
      <c r="AA10" s="25" t="s">
        <v>32</v>
      </c>
      <c r="AB10" s="12"/>
      <c r="AC10" s="25" t="s">
        <v>39</v>
      </c>
      <c r="AD10" s="25" t="s">
        <v>12</v>
      </c>
      <c r="AE10" s="25" t="s">
        <v>30</v>
      </c>
      <c r="AF10" s="25" t="s">
        <v>33</v>
      </c>
      <c r="AG10" s="25" t="s">
        <v>14</v>
      </c>
      <c r="AH10" s="25" t="s">
        <v>29</v>
      </c>
      <c r="AI10" s="25" t="s">
        <v>32</v>
      </c>
      <c r="AJ10" s="344" t="s">
        <v>41</v>
      </c>
      <c r="AK10" s="12"/>
      <c r="AL10" s="25" t="s">
        <v>33</v>
      </c>
      <c r="AM10" s="25" t="s">
        <v>30</v>
      </c>
      <c r="AN10" s="25" t="s">
        <v>38</v>
      </c>
      <c r="AO10" s="25" t="s">
        <v>32</v>
      </c>
      <c r="AP10" s="25" t="s">
        <v>50</v>
      </c>
      <c r="AQ10" s="25" t="s">
        <v>43</v>
      </c>
      <c r="AR10" s="25" t="s">
        <v>14</v>
      </c>
      <c r="AS10" s="25" t="s">
        <v>12</v>
      </c>
      <c r="AT10" s="358">
        <f t="shared" si="0"/>
        <v>6</v>
      </c>
      <c r="AU10" s="358">
        <f t="shared" si="1"/>
        <v>5</v>
      </c>
      <c r="AV10" s="358">
        <f t="shared" si="2"/>
        <v>5</v>
      </c>
      <c r="AW10" s="358">
        <f t="shared" si="3"/>
        <v>2</v>
      </c>
      <c r="AX10" s="358">
        <f t="shared" si="4"/>
        <v>2</v>
      </c>
      <c r="AY10" s="358">
        <f t="shared" si="5"/>
        <v>3</v>
      </c>
      <c r="AZ10" s="358">
        <f t="shared" si="6"/>
        <v>3</v>
      </c>
      <c r="BA10" s="358">
        <f t="shared" si="7"/>
        <v>3</v>
      </c>
      <c r="BB10" s="358">
        <f t="shared" si="8"/>
        <v>1</v>
      </c>
      <c r="BC10" s="358">
        <f t="shared" si="9"/>
        <v>1</v>
      </c>
      <c r="BD10" s="358">
        <f t="shared" si="10"/>
        <v>1</v>
      </c>
      <c r="BE10" s="358">
        <f t="shared" si="11"/>
        <v>1</v>
      </c>
      <c r="BF10" s="358">
        <f t="shared" si="12"/>
        <v>1</v>
      </c>
      <c r="BG10" s="358">
        <f t="shared" si="13"/>
        <v>1</v>
      </c>
      <c r="BH10" s="358">
        <f t="shared" si="14"/>
        <v>1</v>
      </c>
      <c r="BI10" s="358">
        <f t="shared" si="15"/>
        <v>0</v>
      </c>
    </row>
    <row r="11" s="26" customFormat="1" ht="47.1" customHeight="1" spans="1:61">
      <c r="A11" s="343" t="s">
        <v>52</v>
      </c>
      <c r="B11" s="25" t="s">
        <v>29</v>
      </c>
      <c r="C11" s="25" t="s">
        <v>36</v>
      </c>
      <c r="D11" s="25" t="s">
        <v>12</v>
      </c>
      <c r="E11" s="25" t="s">
        <v>33</v>
      </c>
      <c r="F11" s="25" t="s">
        <v>14</v>
      </c>
      <c r="G11" s="25" t="s">
        <v>32</v>
      </c>
      <c r="H11" s="12" t="s">
        <v>35</v>
      </c>
      <c r="I11" s="344" t="s">
        <v>34</v>
      </c>
      <c r="J11" s="12"/>
      <c r="K11" s="25" t="s">
        <v>12</v>
      </c>
      <c r="L11" s="25" t="s">
        <v>12</v>
      </c>
      <c r="M11" s="25" t="s">
        <v>14</v>
      </c>
      <c r="N11" s="25" t="s">
        <v>32</v>
      </c>
      <c r="O11" s="25" t="s">
        <v>53</v>
      </c>
      <c r="P11" s="25" t="s">
        <v>30</v>
      </c>
      <c r="Q11" s="25" t="s">
        <v>33</v>
      </c>
      <c r="R11" s="344" t="s">
        <v>37</v>
      </c>
      <c r="S11" s="37"/>
      <c r="T11" s="25" t="s">
        <v>14</v>
      </c>
      <c r="U11" s="25" t="s">
        <v>38</v>
      </c>
      <c r="V11" s="25" t="s">
        <v>12</v>
      </c>
      <c r="W11" s="25" t="s">
        <v>31</v>
      </c>
      <c r="X11" s="25" t="s">
        <v>30</v>
      </c>
      <c r="Y11" s="25" t="s">
        <v>39</v>
      </c>
      <c r="Z11" s="25" t="s">
        <v>32</v>
      </c>
      <c r="AA11" s="344" t="s">
        <v>40</v>
      </c>
      <c r="AB11" s="37"/>
      <c r="AC11" s="25" t="s">
        <v>32</v>
      </c>
      <c r="AD11" s="25" t="s">
        <v>14</v>
      </c>
      <c r="AE11" s="25" t="s">
        <v>12</v>
      </c>
      <c r="AF11" s="25" t="s">
        <v>29</v>
      </c>
      <c r="AG11" s="25" t="s">
        <v>33</v>
      </c>
      <c r="AH11" s="25" t="s">
        <v>36</v>
      </c>
      <c r="AI11" s="25" t="s">
        <v>35</v>
      </c>
      <c r="AJ11" s="344" t="s">
        <v>41</v>
      </c>
      <c r="AK11" s="12"/>
      <c r="AL11" s="25" t="s">
        <v>14</v>
      </c>
      <c r="AM11" s="25" t="s">
        <v>26</v>
      </c>
      <c r="AN11" s="25" t="s">
        <v>30</v>
      </c>
      <c r="AO11" s="25" t="s">
        <v>32</v>
      </c>
      <c r="AP11" s="25" t="s">
        <v>53</v>
      </c>
      <c r="AQ11" s="25" t="s">
        <v>12</v>
      </c>
      <c r="AR11" s="25" t="s">
        <v>43</v>
      </c>
      <c r="AS11" s="25" t="s">
        <v>29</v>
      </c>
      <c r="AT11" s="358">
        <f t="shared" si="0"/>
        <v>6</v>
      </c>
      <c r="AU11" s="358">
        <f t="shared" si="1"/>
        <v>5</v>
      </c>
      <c r="AV11" s="358">
        <f t="shared" si="2"/>
        <v>5</v>
      </c>
      <c r="AW11" s="358">
        <f t="shared" si="3"/>
        <v>2</v>
      </c>
      <c r="AX11" s="358">
        <f t="shared" si="4"/>
        <v>2</v>
      </c>
      <c r="AY11" s="358">
        <f t="shared" si="5"/>
        <v>3</v>
      </c>
      <c r="AZ11" s="358">
        <f t="shared" si="6"/>
        <v>3</v>
      </c>
      <c r="BA11" s="358">
        <f t="shared" si="7"/>
        <v>3</v>
      </c>
      <c r="BB11" s="358">
        <f t="shared" si="8"/>
        <v>1</v>
      </c>
      <c r="BC11" s="358">
        <f t="shared" si="9"/>
        <v>1</v>
      </c>
      <c r="BD11" s="358">
        <f t="shared" si="10"/>
        <v>1</v>
      </c>
      <c r="BE11" s="358">
        <f t="shared" si="11"/>
        <v>1</v>
      </c>
      <c r="BF11" s="358">
        <f t="shared" si="12"/>
        <v>1</v>
      </c>
      <c r="BG11" s="358">
        <f t="shared" si="13"/>
        <v>1</v>
      </c>
      <c r="BH11" s="358">
        <f t="shared" si="14"/>
        <v>1</v>
      </c>
      <c r="BI11" s="358">
        <f t="shared" si="15"/>
        <v>0</v>
      </c>
    </row>
    <row r="12" s="26" customFormat="1" ht="47.1" customHeight="1" spans="1:61">
      <c r="A12" s="343" t="s">
        <v>54</v>
      </c>
      <c r="B12" s="25" t="s">
        <v>36</v>
      </c>
      <c r="C12" s="25" t="s">
        <v>32</v>
      </c>
      <c r="D12" s="25" t="s">
        <v>14</v>
      </c>
      <c r="E12" s="25" t="s">
        <v>43</v>
      </c>
      <c r="F12" s="25" t="s">
        <v>30</v>
      </c>
      <c r="G12" s="25" t="s">
        <v>12</v>
      </c>
      <c r="H12" s="25" t="s">
        <v>33</v>
      </c>
      <c r="I12" s="344" t="s">
        <v>34</v>
      </c>
      <c r="J12" s="37"/>
      <c r="K12" s="25" t="s">
        <v>32</v>
      </c>
      <c r="L12" s="25" t="s">
        <v>53</v>
      </c>
      <c r="M12" s="25" t="s">
        <v>29</v>
      </c>
      <c r="N12" s="25" t="s">
        <v>12</v>
      </c>
      <c r="O12" s="25" t="s">
        <v>12</v>
      </c>
      <c r="P12" s="12" t="s">
        <v>14</v>
      </c>
      <c r="Q12" s="25" t="s">
        <v>35</v>
      </c>
      <c r="R12" s="344" t="s">
        <v>37</v>
      </c>
      <c r="S12" s="37"/>
      <c r="T12" s="25" t="s">
        <v>29</v>
      </c>
      <c r="U12" s="25" t="s">
        <v>40</v>
      </c>
      <c r="V12" s="25" t="s">
        <v>31</v>
      </c>
      <c r="W12" s="25" t="s">
        <v>14</v>
      </c>
      <c r="X12" s="25" t="s">
        <v>12</v>
      </c>
      <c r="Y12" s="25" t="s">
        <v>32</v>
      </c>
      <c r="Z12" s="25" t="s">
        <v>33</v>
      </c>
      <c r="AA12" s="344" t="s">
        <v>39</v>
      </c>
      <c r="AB12" s="37"/>
      <c r="AC12" s="25" t="s">
        <v>35</v>
      </c>
      <c r="AD12" s="25" t="s">
        <v>12</v>
      </c>
      <c r="AE12" s="25" t="s">
        <v>14</v>
      </c>
      <c r="AF12" s="25" t="s">
        <v>32</v>
      </c>
      <c r="AG12" s="25" t="s">
        <v>38</v>
      </c>
      <c r="AH12" s="25" t="s">
        <v>30</v>
      </c>
      <c r="AI12" s="25" t="s">
        <v>36</v>
      </c>
      <c r="AJ12" s="344" t="s">
        <v>41</v>
      </c>
      <c r="AK12" s="12"/>
      <c r="AL12" s="25" t="s">
        <v>32</v>
      </c>
      <c r="AM12" s="25" t="s">
        <v>53</v>
      </c>
      <c r="AN12" s="25" t="s">
        <v>29</v>
      </c>
      <c r="AO12" s="25" t="s">
        <v>14</v>
      </c>
      <c r="AP12" s="25" t="s">
        <v>26</v>
      </c>
      <c r="AQ12" s="25" t="s">
        <v>33</v>
      </c>
      <c r="AR12" s="25" t="s">
        <v>30</v>
      </c>
      <c r="AS12" s="25" t="s">
        <v>12</v>
      </c>
      <c r="AT12" s="358">
        <f t="shared" si="0"/>
        <v>6</v>
      </c>
      <c r="AU12" s="358">
        <f t="shared" si="1"/>
        <v>5</v>
      </c>
      <c r="AV12" s="358">
        <f t="shared" si="2"/>
        <v>5</v>
      </c>
      <c r="AW12" s="358">
        <f t="shared" si="3"/>
        <v>2</v>
      </c>
      <c r="AX12" s="358">
        <f t="shared" si="4"/>
        <v>2</v>
      </c>
      <c r="AY12" s="358">
        <f t="shared" si="5"/>
        <v>3</v>
      </c>
      <c r="AZ12" s="358">
        <f t="shared" si="6"/>
        <v>3</v>
      </c>
      <c r="BA12" s="358">
        <f t="shared" si="7"/>
        <v>3</v>
      </c>
      <c r="BB12" s="358">
        <f t="shared" si="8"/>
        <v>1</v>
      </c>
      <c r="BC12" s="358">
        <f t="shared" si="9"/>
        <v>1</v>
      </c>
      <c r="BD12" s="358">
        <f t="shared" si="10"/>
        <v>1</v>
      </c>
      <c r="BE12" s="358">
        <f t="shared" si="11"/>
        <v>1</v>
      </c>
      <c r="BF12" s="358">
        <f t="shared" si="12"/>
        <v>1</v>
      </c>
      <c r="BG12" s="358">
        <f t="shared" si="13"/>
        <v>1</v>
      </c>
      <c r="BH12" s="358">
        <f t="shared" si="14"/>
        <v>1</v>
      </c>
      <c r="BI12" s="358">
        <f t="shared" si="15"/>
        <v>0</v>
      </c>
    </row>
    <row r="13" s="26" customFormat="1" ht="47.1" customHeight="1" spans="1:61">
      <c r="A13" s="343" t="s">
        <v>55</v>
      </c>
      <c r="B13" s="25" t="s">
        <v>32</v>
      </c>
      <c r="C13" s="25" t="s">
        <v>30</v>
      </c>
      <c r="D13" s="25" t="s">
        <v>33</v>
      </c>
      <c r="E13" s="25" t="s">
        <v>36</v>
      </c>
      <c r="F13" s="25" t="s">
        <v>43</v>
      </c>
      <c r="G13" s="25" t="s">
        <v>12</v>
      </c>
      <c r="H13" s="25" t="s">
        <v>14</v>
      </c>
      <c r="I13" s="344" t="s">
        <v>34</v>
      </c>
      <c r="J13" s="37"/>
      <c r="K13" s="25" t="s">
        <v>12</v>
      </c>
      <c r="L13" s="25" t="s">
        <v>12</v>
      </c>
      <c r="M13" s="25" t="s">
        <v>29</v>
      </c>
      <c r="N13" s="25" t="s">
        <v>14</v>
      </c>
      <c r="O13" s="25" t="s">
        <v>32</v>
      </c>
      <c r="P13" s="25" t="s">
        <v>35</v>
      </c>
      <c r="Q13" s="25" t="s">
        <v>31</v>
      </c>
      <c r="R13" s="344" t="s">
        <v>37</v>
      </c>
      <c r="S13" s="37"/>
      <c r="T13" s="25" t="s">
        <v>14</v>
      </c>
      <c r="U13" s="25" t="s">
        <v>26</v>
      </c>
      <c r="V13" s="25" t="s">
        <v>29</v>
      </c>
      <c r="W13" s="25" t="s">
        <v>12</v>
      </c>
      <c r="X13" s="25" t="s">
        <v>38</v>
      </c>
      <c r="Y13" s="25" t="s">
        <v>32</v>
      </c>
      <c r="Z13" s="362" t="s">
        <v>30</v>
      </c>
      <c r="AA13" s="362" t="s">
        <v>39</v>
      </c>
      <c r="AB13" s="12"/>
      <c r="AC13" s="25" t="s">
        <v>32</v>
      </c>
      <c r="AD13" s="25" t="s">
        <v>56</v>
      </c>
      <c r="AE13" s="25" t="s">
        <v>12</v>
      </c>
      <c r="AF13" s="25" t="s">
        <v>36</v>
      </c>
      <c r="AG13" s="25" t="s">
        <v>35</v>
      </c>
      <c r="AH13" s="25" t="s">
        <v>33</v>
      </c>
      <c r="AI13" s="25" t="s">
        <v>14</v>
      </c>
      <c r="AJ13" s="344" t="s">
        <v>41</v>
      </c>
      <c r="AK13" s="37"/>
      <c r="AL13" s="25" t="s">
        <v>32</v>
      </c>
      <c r="AM13" s="25" t="s">
        <v>56</v>
      </c>
      <c r="AN13" s="25" t="s">
        <v>30</v>
      </c>
      <c r="AO13" s="25" t="s">
        <v>29</v>
      </c>
      <c r="AP13" s="25" t="s">
        <v>14</v>
      </c>
      <c r="AQ13" s="25" t="s">
        <v>12</v>
      </c>
      <c r="AR13" s="25" t="s">
        <v>33</v>
      </c>
      <c r="AS13" s="25" t="s">
        <v>40</v>
      </c>
      <c r="AT13" s="358">
        <f t="shared" si="0"/>
        <v>6</v>
      </c>
      <c r="AU13" s="358">
        <f t="shared" si="1"/>
        <v>5</v>
      </c>
      <c r="AV13" s="358">
        <f t="shared" si="2"/>
        <v>5</v>
      </c>
      <c r="AW13" s="358">
        <f t="shared" si="3"/>
        <v>2</v>
      </c>
      <c r="AX13" s="358">
        <f t="shared" si="4"/>
        <v>2</v>
      </c>
      <c r="AY13" s="358">
        <f t="shared" si="5"/>
        <v>3</v>
      </c>
      <c r="AZ13" s="358">
        <f t="shared" si="6"/>
        <v>3</v>
      </c>
      <c r="BA13" s="358">
        <f t="shared" si="7"/>
        <v>3</v>
      </c>
      <c r="BB13" s="358">
        <f t="shared" si="8"/>
        <v>1</v>
      </c>
      <c r="BC13" s="358">
        <f t="shared" si="9"/>
        <v>1</v>
      </c>
      <c r="BD13" s="358">
        <f t="shared" si="10"/>
        <v>1</v>
      </c>
      <c r="BE13" s="358">
        <f t="shared" si="11"/>
        <v>1</v>
      </c>
      <c r="BF13" s="358">
        <f t="shared" si="12"/>
        <v>1</v>
      </c>
      <c r="BG13" s="358">
        <f t="shared" si="13"/>
        <v>1</v>
      </c>
      <c r="BH13" s="358">
        <f t="shared" si="14"/>
        <v>1</v>
      </c>
      <c r="BI13" s="358">
        <f t="shared" si="15"/>
        <v>0</v>
      </c>
    </row>
    <row r="14" s="26" customFormat="1" ht="47.1" customHeight="1" spans="1:61">
      <c r="A14" s="343" t="s">
        <v>57</v>
      </c>
      <c r="B14" s="25" t="s">
        <v>14</v>
      </c>
      <c r="C14" s="25" t="s">
        <v>12</v>
      </c>
      <c r="D14" s="12" t="s">
        <v>35</v>
      </c>
      <c r="E14" s="25" t="s">
        <v>32</v>
      </c>
      <c r="F14" s="25" t="s">
        <v>36</v>
      </c>
      <c r="G14" s="25" t="s">
        <v>33</v>
      </c>
      <c r="H14" s="25" t="s">
        <v>29</v>
      </c>
      <c r="I14" s="344" t="s">
        <v>34</v>
      </c>
      <c r="J14" s="37"/>
      <c r="K14" s="360" t="s">
        <v>39</v>
      </c>
      <c r="L14" s="360" t="s">
        <v>14</v>
      </c>
      <c r="M14" s="25" t="s">
        <v>32</v>
      </c>
      <c r="N14" s="25" t="s">
        <v>12</v>
      </c>
      <c r="O14" s="25" t="s">
        <v>12</v>
      </c>
      <c r="P14" s="25" t="s">
        <v>33</v>
      </c>
      <c r="Q14" s="25" t="s">
        <v>30</v>
      </c>
      <c r="R14" s="344" t="s">
        <v>37</v>
      </c>
      <c r="S14" s="37"/>
      <c r="T14" s="25" t="s">
        <v>36</v>
      </c>
      <c r="U14" s="360" t="s">
        <v>29</v>
      </c>
      <c r="V14" s="25" t="s">
        <v>12</v>
      </c>
      <c r="W14" s="25" t="s">
        <v>14</v>
      </c>
      <c r="X14" s="25" t="s">
        <v>26</v>
      </c>
      <c r="Y14" s="25" t="s">
        <v>35</v>
      </c>
      <c r="Z14" s="25" t="s">
        <v>32</v>
      </c>
      <c r="AA14" s="360" t="s">
        <v>30</v>
      </c>
      <c r="AB14" s="12"/>
      <c r="AC14" s="25" t="s">
        <v>12</v>
      </c>
      <c r="AD14" s="25" t="s">
        <v>33</v>
      </c>
      <c r="AE14" s="25" t="s">
        <v>14</v>
      </c>
      <c r="AF14" s="25" t="s">
        <v>38</v>
      </c>
      <c r="AG14" s="25" t="s">
        <v>30</v>
      </c>
      <c r="AH14" s="25" t="s">
        <v>32</v>
      </c>
      <c r="AI14" s="25" t="s">
        <v>56</v>
      </c>
      <c r="AJ14" s="344" t="s">
        <v>41</v>
      </c>
      <c r="AK14" s="12"/>
      <c r="AL14" s="25" t="s">
        <v>29</v>
      </c>
      <c r="AM14" s="25" t="s">
        <v>43</v>
      </c>
      <c r="AN14" s="25" t="s">
        <v>14</v>
      </c>
      <c r="AO14" s="25" t="s">
        <v>32</v>
      </c>
      <c r="AP14" s="25" t="s">
        <v>56</v>
      </c>
      <c r="AQ14" s="25" t="s">
        <v>31</v>
      </c>
      <c r="AR14" s="25" t="s">
        <v>12</v>
      </c>
      <c r="AS14" s="360" t="s">
        <v>40</v>
      </c>
      <c r="AT14" s="358">
        <f t="shared" si="0"/>
        <v>6</v>
      </c>
      <c r="AU14" s="358">
        <f t="shared" si="1"/>
        <v>5</v>
      </c>
      <c r="AV14" s="358">
        <f t="shared" si="2"/>
        <v>5</v>
      </c>
      <c r="AW14" s="358">
        <f t="shared" si="3"/>
        <v>2</v>
      </c>
      <c r="AX14" s="358">
        <f t="shared" si="4"/>
        <v>2</v>
      </c>
      <c r="AY14" s="358">
        <f t="shared" si="5"/>
        <v>3</v>
      </c>
      <c r="AZ14" s="358">
        <f t="shared" si="6"/>
        <v>3</v>
      </c>
      <c r="BA14" s="358">
        <f t="shared" si="7"/>
        <v>3</v>
      </c>
      <c r="BB14" s="358">
        <f t="shared" si="8"/>
        <v>1</v>
      </c>
      <c r="BC14" s="358">
        <f t="shared" si="9"/>
        <v>1</v>
      </c>
      <c r="BD14" s="358">
        <f t="shared" si="10"/>
        <v>1</v>
      </c>
      <c r="BE14" s="358">
        <f t="shared" si="11"/>
        <v>1</v>
      </c>
      <c r="BF14" s="358">
        <f t="shared" si="12"/>
        <v>1</v>
      </c>
      <c r="BG14" s="358">
        <f t="shared" si="13"/>
        <v>1</v>
      </c>
      <c r="BH14" s="358">
        <f t="shared" si="14"/>
        <v>1</v>
      </c>
      <c r="BI14" s="358">
        <f t="shared" si="15"/>
        <v>0</v>
      </c>
    </row>
    <row r="15" s="26" customFormat="1" ht="47.1" customHeight="1" spans="1:61">
      <c r="A15" s="343" t="s">
        <v>58</v>
      </c>
      <c r="B15" s="25" t="s">
        <v>43</v>
      </c>
      <c r="C15" s="25" t="s">
        <v>29</v>
      </c>
      <c r="D15" s="25" t="s">
        <v>32</v>
      </c>
      <c r="E15" s="25" t="s">
        <v>33</v>
      </c>
      <c r="F15" s="25" t="s">
        <v>14</v>
      </c>
      <c r="G15" s="25" t="s">
        <v>30</v>
      </c>
      <c r="H15" s="25" t="s">
        <v>12</v>
      </c>
      <c r="I15" s="344" t="s">
        <v>34</v>
      </c>
      <c r="J15" s="37"/>
      <c r="K15" s="25" t="s">
        <v>12</v>
      </c>
      <c r="L15" s="25" t="s">
        <v>12</v>
      </c>
      <c r="M15" s="25" t="s">
        <v>14</v>
      </c>
      <c r="N15" s="25" t="s">
        <v>59</v>
      </c>
      <c r="O15" s="25" t="s">
        <v>32</v>
      </c>
      <c r="P15" s="25" t="s">
        <v>33</v>
      </c>
      <c r="Q15" s="25" t="s">
        <v>36</v>
      </c>
      <c r="R15" s="344" t="s">
        <v>37</v>
      </c>
      <c r="S15" s="12"/>
      <c r="T15" s="25" t="s">
        <v>14</v>
      </c>
      <c r="U15" s="25" t="s">
        <v>26</v>
      </c>
      <c r="V15" s="25" t="s">
        <v>12</v>
      </c>
      <c r="W15" s="25" t="s">
        <v>29</v>
      </c>
      <c r="X15" s="25" t="s">
        <v>30</v>
      </c>
      <c r="Y15" s="25" t="s">
        <v>32</v>
      </c>
      <c r="Z15" s="25" t="s">
        <v>35</v>
      </c>
      <c r="AA15" s="25" t="s">
        <v>39</v>
      </c>
      <c r="AB15" s="12"/>
      <c r="AC15" s="25" t="s">
        <v>32</v>
      </c>
      <c r="AD15" s="25" t="s">
        <v>38</v>
      </c>
      <c r="AE15" s="25" t="s">
        <v>33</v>
      </c>
      <c r="AF15" s="25" t="s">
        <v>40</v>
      </c>
      <c r="AG15" s="25" t="s">
        <v>12</v>
      </c>
      <c r="AH15" s="25" t="s">
        <v>29</v>
      </c>
      <c r="AI15" s="25" t="s">
        <v>14</v>
      </c>
      <c r="AJ15" s="344" t="s">
        <v>41</v>
      </c>
      <c r="AK15" s="12"/>
      <c r="AL15" s="25" t="s">
        <v>14</v>
      </c>
      <c r="AM15" s="25" t="s">
        <v>30</v>
      </c>
      <c r="AN15" s="25" t="s">
        <v>35</v>
      </c>
      <c r="AO15" s="25" t="s">
        <v>32</v>
      </c>
      <c r="AP15" s="25" t="s">
        <v>59</v>
      </c>
      <c r="AQ15" s="25" t="s">
        <v>36</v>
      </c>
      <c r="AR15" s="25" t="s">
        <v>31</v>
      </c>
      <c r="AS15" s="12" t="s">
        <v>12</v>
      </c>
      <c r="AT15" s="358">
        <f t="shared" si="0"/>
        <v>6</v>
      </c>
      <c r="AU15" s="358">
        <f t="shared" si="1"/>
        <v>5</v>
      </c>
      <c r="AV15" s="358">
        <f t="shared" si="2"/>
        <v>5</v>
      </c>
      <c r="AW15" s="358">
        <f t="shared" si="3"/>
        <v>2</v>
      </c>
      <c r="AX15" s="358">
        <f t="shared" si="4"/>
        <v>2</v>
      </c>
      <c r="AY15" s="358">
        <f t="shared" si="5"/>
        <v>3</v>
      </c>
      <c r="AZ15" s="358">
        <f t="shared" si="6"/>
        <v>3</v>
      </c>
      <c r="BA15" s="358">
        <f t="shared" si="7"/>
        <v>3</v>
      </c>
      <c r="BB15" s="358">
        <f t="shared" si="8"/>
        <v>1</v>
      </c>
      <c r="BC15" s="358">
        <f t="shared" si="9"/>
        <v>1</v>
      </c>
      <c r="BD15" s="358">
        <f t="shared" si="10"/>
        <v>1</v>
      </c>
      <c r="BE15" s="358">
        <f t="shared" si="11"/>
        <v>1</v>
      </c>
      <c r="BF15" s="358">
        <f t="shared" si="12"/>
        <v>1</v>
      </c>
      <c r="BG15" s="358">
        <f t="shared" si="13"/>
        <v>1</v>
      </c>
      <c r="BH15" s="358">
        <f t="shared" si="14"/>
        <v>1</v>
      </c>
      <c r="BI15" s="358">
        <f t="shared" si="15"/>
        <v>0</v>
      </c>
    </row>
    <row r="16" s="26" customFormat="1" ht="47.1" customHeight="1" spans="1:61">
      <c r="A16" s="343" t="s">
        <v>60</v>
      </c>
      <c r="B16" s="25" t="s">
        <v>36</v>
      </c>
      <c r="C16" s="25" t="s">
        <v>32</v>
      </c>
      <c r="D16" s="25" t="s">
        <v>43</v>
      </c>
      <c r="E16" s="25" t="s">
        <v>14</v>
      </c>
      <c r="F16" s="25" t="s">
        <v>12</v>
      </c>
      <c r="G16" s="25" t="s">
        <v>35</v>
      </c>
      <c r="H16" s="25" t="s">
        <v>38</v>
      </c>
      <c r="I16" s="344" t="s">
        <v>34</v>
      </c>
      <c r="J16" s="37"/>
      <c r="K16" s="25" t="s">
        <v>32</v>
      </c>
      <c r="L16" s="25" t="s">
        <v>59</v>
      </c>
      <c r="M16" s="25" t="s">
        <v>33</v>
      </c>
      <c r="N16" s="25" t="s">
        <v>12</v>
      </c>
      <c r="O16" s="25" t="s">
        <v>12</v>
      </c>
      <c r="P16" s="25" t="s">
        <v>14</v>
      </c>
      <c r="Q16" s="25" t="s">
        <v>29</v>
      </c>
      <c r="R16" s="344" t="s">
        <v>37</v>
      </c>
      <c r="S16" s="12"/>
      <c r="T16" s="25" t="s">
        <v>29</v>
      </c>
      <c r="U16" s="25" t="s">
        <v>12</v>
      </c>
      <c r="V16" s="25" t="s">
        <v>30</v>
      </c>
      <c r="W16" s="25" t="s">
        <v>14</v>
      </c>
      <c r="X16" s="25" t="s">
        <v>26</v>
      </c>
      <c r="Y16" s="344" t="s">
        <v>40</v>
      </c>
      <c r="Z16" s="25" t="s">
        <v>32</v>
      </c>
      <c r="AA16" s="25" t="s">
        <v>31</v>
      </c>
      <c r="AB16" s="37"/>
      <c r="AC16" s="25" t="s">
        <v>12</v>
      </c>
      <c r="AD16" s="25" t="s">
        <v>14</v>
      </c>
      <c r="AE16" s="25" t="s">
        <v>36</v>
      </c>
      <c r="AF16" s="25" t="s">
        <v>32</v>
      </c>
      <c r="AG16" s="25" t="s">
        <v>33</v>
      </c>
      <c r="AH16" s="25" t="s">
        <v>35</v>
      </c>
      <c r="AI16" s="25" t="s">
        <v>30</v>
      </c>
      <c r="AJ16" s="344" t="s">
        <v>41</v>
      </c>
      <c r="AK16" s="37"/>
      <c r="AL16" s="25" t="s">
        <v>59</v>
      </c>
      <c r="AM16" s="25" t="s">
        <v>32</v>
      </c>
      <c r="AN16" s="25" t="s">
        <v>39</v>
      </c>
      <c r="AO16" s="25" t="s">
        <v>14</v>
      </c>
      <c r="AP16" s="25" t="s">
        <v>29</v>
      </c>
      <c r="AQ16" s="12" t="s">
        <v>12</v>
      </c>
      <c r="AR16" s="360" t="s">
        <v>33</v>
      </c>
      <c r="AS16" s="360" t="s">
        <v>30</v>
      </c>
      <c r="AT16" s="358">
        <f t="shared" si="0"/>
        <v>6</v>
      </c>
      <c r="AU16" s="358">
        <f t="shared" si="1"/>
        <v>5</v>
      </c>
      <c r="AV16" s="358">
        <f t="shared" si="2"/>
        <v>5</v>
      </c>
      <c r="AW16" s="358">
        <f t="shared" si="3"/>
        <v>2</v>
      </c>
      <c r="AX16" s="358">
        <f t="shared" si="4"/>
        <v>2</v>
      </c>
      <c r="AY16" s="358">
        <f t="shared" si="5"/>
        <v>3</v>
      </c>
      <c r="AZ16" s="358">
        <f t="shared" si="6"/>
        <v>3</v>
      </c>
      <c r="BA16" s="358">
        <f t="shared" si="7"/>
        <v>3</v>
      </c>
      <c r="BB16" s="358">
        <f t="shared" si="8"/>
        <v>1</v>
      </c>
      <c r="BC16" s="358">
        <f t="shared" si="9"/>
        <v>1</v>
      </c>
      <c r="BD16" s="358">
        <f t="shared" si="10"/>
        <v>1</v>
      </c>
      <c r="BE16" s="358">
        <f t="shared" si="11"/>
        <v>1</v>
      </c>
      <c r="BF16" s="358">
        <f t="shared" si="12"/>
        <v>1</v>
      </c>
      <c r="BG16" s="358">
        <f t="shared" si="13"/>
        <v>1</v>
      </c>
      <c r="BH16" s="358">
        <f t="shared" si="14"/>
        <v>1</v>
      </c>
      <c r="BI16" s="358">
        <f t="shared" si="15"/>
        <v>0</v>
      </c>
    </row>
    <row r="17" s="26" customFormat="1" ht="47.1" customHeight="1" spans="1:61">
      <c r="A17" s="343" t="s">
        <v>61</v>
      </c>
      <c r="B17" s="25" t="s">
        <v>14</v>
      </c>
      <c r="C17" s="25" t="s">
        <v>33</v>
      </c>
      <c r="D17" s="25" t="s">
        <v>32</v>
      </c>
      <c r="E17" s="25" t="s">
        <v>12</v>
      </c>
      <c r="F17" s="25" t="s">
        <v>30</v>
      </c>
      <c r="G17" s="25" t="s">
        <v>29</v>
      </c>
      <c r="H17" s="25" t="s">
        <v>35</v>
      </c>
      <c r="I17" s="344" t="s">
        <v>34</v>
      </c>
      <c r="J17" s="37"/>
      <c r="K17" s="25" t="s">
        <v>12</v>
      </c>
      <c r="L17" s="25" t="s">
        <v>12</v>
      </c>
      <c r="M17" s="25" t="s">
        <v>14</v>
      </c>
      <c r="N17" s="25" t="s">
        <v>62</v>
      </c>
      <c r="O17" s="25" t="s">
        <v>32</v>
      </c>
      <c r="P17" s="12" t="s">
        <v>38</v>
      </c>
      <c r="Q17" s="25" t="s">
        <v>43</v>
      </c>
      <c r="R17" s="344" t="s">
        <v>37</v>
      </c>
      <c r="S17" s="25"/>
      <c r="T17" s="25" t="s">
        <v>39</v>
      </c>
      <c r="U17" s="25" t="s">
        <v>29</v>
      </c>
      <c r="V17" s="25" t="s">
        <v>12</v>
      </c>
      <c r="W17" s="25" t="s">
        <v>14</v>
      </c>
      <c r="X17" s="25" t="s">
        <v>30</v>
      </c>
      <c r="Y17" s="25" t="s">
        <v>32</v>
      </c>
      <c r="Z17" s="25" t="s">
        <v>33</v>
      </c>
      <c r="AA17" s="25" t="s">
        <v>36</v>
      </c>
      <c r="AB17" s="25"/>
      <c r="AC17" s="25" t="s">
        <v>32</v>
      </c>
      <c r="AD17" s="25" t="s">
        <v>62</v>
      </c>
      <c r="AE17" s="25" t="s">
        <v>12</v>
      </c>
      <c r="AF17" s="25" t="s">
        <v>26</v>
      </c>
      <c r="AG17" s="25" t="s">
        <v>14</v>
      </c>
      <c r="AH17" s="25" t="s">
        <v>31</v>
      </c>
      <c r="AI17" s="25" t="s">
        <v>35</v>
      </c>
      <c r="AJ17" s="344" t="s">
        <v>41</v>
      </c>
      <c r="AK17" s="12"/>
      <c r="AL17" s="25" t="s">
        <v>32</v>
      </c>
      <c r="AM17" s="25" t="s">
        <v>29</v>
      </c>
      <c r="AN17" s="360" t="s">
        <v>33</v>
      </c>
      <c r="AO17" s="25" t="s">
        <v>14</v>
      </c>
      <c r="AP17" s="360" t="s">
        <v>40</v>
      </c>
      <c r="AQ17" s="360" t="s">
        <v>30</v>
      </c>
      <c r="AR17" s="25" t="s">
        <v>12</v>
      </c>
      <c r="AS17" s="344" t="s">
        <v>36</v>
      </c>
      <c r="AT17" s="358">
        <f t="shared" si="0"/>
        <v>6</v>
      </c>
      <c r="AU17" s="358">
        <f t="shared" si="1"/>
        <v>5</v>
      </c>
      <c r="AV17" s="358">
        <f t="shared" si="2"/>
        <v>5</v>
      </c>
      <c r="AW17" s="358">
        <f t="shared" si="3"/>
        <v>2</v>
      </c>
      <c r="AX17" s="358">
        <f t="shared" si="4"/>
        <v>2</v>
      </c>
      <c r="AY17" s="358">
        <f t="shared" si="5"/>
        <v>3</v>
      </c>
      <c r="AZ17" s="358">
        <f t="shared" si="6"/>
        <v>3</v>
      </c>
      <c r="BA17" s="358">
        <f t="shared" si="7"/>
        <v>3</v>
      </c>
      <c r="BB17" s="358">
        <f t="shared" si="8"/>
        <v>1</v>
      </c>
      <c r="BC17" s="358">
        <f t="shared" si="9"/>
        <v>1</v>
      </c>
      <c r="BD17" s="358">
        <f t="shared" si="10"/>
        <v>1</v>
      </c>
      <c r="BE17" s="358">
        <f t="shared" si="11"/>
        <v>1</v>
      </c>
      <c r="BF17" s="358">
        <f t="shared" si="12"/>
        <v>1</v>
      </c>
      <c r="BG17" s="358">
        <f t="shared" si="13"/>
        <v>1</v>
      </c>
      <c r="BH17" s="358">
        <f t="shared" si="14"/>
        <v>1</v>
      </c>
      <c r="BI17" s="358">
        <f t="shared" si="15"/>
        <v>0</v>
      </c>
    </row>
    <row r="18" s="26" customFormat="1" ht="47.1" customHeight="1" spans="1:61">
      <c r="A18" s="343" t="s">
        <v>63</v>
      </c>
      <c r="B18" s="360" t="s">
        <v>40</v>
      </c>
      <c r="C18" s="360" t="s">
        <v>32</v>
      </c>
      <c r="D18" s="25" t="s">
        <v>36</v>
      </c>
      <c r="E18" s="25" t="s">
        <v>29</v>
      </c>
      <c r="F18" s="25" t="s">
        <v>12</v>
      </c>
      <c r="G18" s="25" t="s">
        <v>14</v>
      </c>
      <c r="H18" s="25" t="s">
        <v>33</v>
      </c>
      <c r="I18" s="344" t="s">
        <v>34</v>
      </c>
      <c r="J18" s="37"/>
      <c r="K18" s="25" t="s">
        <v>32</v>
      </c>
      <c r="L18" s="25" t="s">
        <v>62</v>
      </c>
      <c r="M18" s="25" t="s">
        <v>35</v>
      </c>
      <c r="N18" s="25" t="s">
        <v>12</v>
      </c>
      <c r="O18" s="25" t="s">
        <v>12</v>
      </c>
      <c r="P18" s="25" t="s">
        <v>29</v>
      </c>
      <c r="Q18" s="25" t="s">
        <v>14</v>
      </c>
      <c r="R18" s="344" t="s">
        <v>37</v>
      </c>
      <c r="S18" s="12"/>
      <c r="T18" s="25" t="s">
        <v>14</v>
      </c>
      <c r="U18" s="25" t="s">
        <v>26</v>
      </c>
      <c r="V18" s="25" t="s">
        <v>36</v>
      </c>
      <c r="W18" s="25" t="s">
        <v>12</v>
      </c>
      <c r="X18" s="12" t="s">
        <v>39</v>
      </c>
      <c r="Y18" s="25" t="s">
        <v>33</v>
      </c>
      <c r="Z18" s="25" t="s">
        <v>32</v>
      </c>
      <c r="AA18" s="25" t="s">
        <v>30</v>
      </c>
      <c r="AB18" s="37"/>
      <c r="AC18" s="25" t="s">
        <v>12</v>
      </c>
      <c r="AD18" s="25" t="s">
        <v>14</v>
      </c>
      <c r="AE18" s="25" t="s">
        <v>35</v>
      </c>
      <c r="AF18" s="25" t="s">
        <v>30</v>
      </c>
      <c r="AG18" s="25" t="s">
        <v>38</v>
      </c>
      <c r="AH18" s="25" t="s">
        <v>32</v>
      </c>
      <c r="AI18" s="25" t="s">
        <v>62</v>
      </c>
      <c r="AJ18" s="344" t="s">
        <v>41</v>
      </c>
      <c r="AK18" s="25"/>
      <c r="AL18" s="25" t="s">
        <v>29</v>
      </c>
      <c r="AM18" s="25" t="s">
        <v>33</v>
      </c>
      <c r="AN18" s="25" t="s">
        <v>32</v>
      </c>
      <c r="AO18" s="25" t="s">
        <v>43</v>
      </c>
      <c r="AP18" s="25" t="s">
        <v>14</v>
      </c>
      <c r="AQ18" s="25" t="s">
        <v>12</v>
      </c>
      <c r="AR18" s="25" t="s">
        <v>30</v>
      </c>
      <c r="AS18" s="25" t="s">
        <v>31</v>
      </c>
      <c r="AT18" s="358">
        <f t="shared" si="0"/>
        <v>6</v>
      </c>
      <c r="AU18" s="358">
        <f t="shared" si="1"/>
        <v>5</v>
      </c>
      <c r="AV18" s="358">
        <f t="shared" si="2"/>
        <v>5</v>
      </c>
      <c r="AW18" s="358">
        <f t="shared" si="3"/>
        <v>2</v>
      </c>
      <c r="AX18" s="358">
        <f t="shared" si="4"/>
        <v>2</v>
      </c>
      <c r="AY18" s="358">
        <f t="shared" si="5"/>
        <v>3</v>
      </c>
      <c r="AZ18" s="358">
        <f t="shared" si="6"/>
        <v>3</v>
      </c>
      <c r="BA18" s="358">
        <f t="shared" si="7"/>
        <v>3</v>
      </c>
      <c r="BB18" s="358">
        <f t="shared" si="8"/>
        <v>1</v>
      </c>
      <c r="BC18" s="358">
        <f t="shared" si="9"/>
        <v>1</v>
      </c>
      <c r="BD18" s="358">
        <f t="shared" si="10"/>
        <v>1</v>
      </c>
      <c r="BE18" s="358">
        <f t="shared" si="11"/>
        <v>1</v>
      </c>
      <c r="BF18" s="358">
        <f t="shared" si="12"/>
        <v>1</v>
      </c>
      <c r="BG18" s="358">
        <f t="shared" si="13"/>
        <v>1</v>
      </c>
      <c r="BH18" s="358">
        <f t="shared" si="14"/>
        <v>1</v>
      </c>
      <c r="BI18" s="358">
        <f t="shared" si="15"/>
        <v>0</v>
      </c>
    </row>
    <row r="19" s="26" customFormat="1" ht="47.1" customHeight="1" spans="1:61">
      <c r="A19" s="343" t="s">
        <v>64</v>
      </c>
      <c r="B19" s="25" t="s">
        <v>32</v>
      </c>
      <c r="C19" s="360" t="s">
        <v>29</v>
      </c>
      <c r="D19" s="25" t="s">
        <v>14</v>
      </c>
      <c r="E19" s="25" t="s">
        <v>39</v>
      </c>
      <c r="F19" s="25" t="s">
        <v>12</v>
      </c>
      <c r="G19" s="25" t="s">
        <v>30</v>
      </c>
      <c r="H19" s="25" t="s">
        <v>36</v>
      </c>
      <c r="I19" s="344" t="s">
        <v>34</v>
      </c>
      <c r="J19" s="37"/>
      <c r="K19" s="25" t="s">
        <v>12</v>
      </c>
      <c r="L19" s="25" t="s">
        <v>31</v>
      </c>
      <c r="M19" s="25" t="s">
        <v>33</v>
      </c>
      <c r="N19" s="25" t="s">
        <v>65</v>
      </c>
      <c r="O19" s="25" t="s">
        <v>32</v>
      </c>
      <c r="P19" s="25" t="s">
        <v>35</v>
      </c>
      <c r="Q19" s="25" t="s">
        <v>14</v>
      </c>
      <c r="R19" s="344" t="s">
        <v>37</v>
      </c>
      <c r="S19" s="12"/>
      <c r="T19" s="25" t="s">
        <v>14</v>
      </c>
      <c r="U19" s="25" t="s">
        <v>26</v>
      </c>
      <c r="V19" s="25" t="s">
        <v>29</v>
      </c>
      <c r="W19" s="25" t="s">
        <v>12</v>
      </c>
      <c r="X19" s="25" t="s">
        <v>12</v>
      </c>
      <c r="Y19" s="25" t="s">
        <v>30</v>
      </c>
      <c r="Z19" s="25" t="s">
        <v>33</v>
      </c>
      <c r="AA19" s="25" t="s">
        <v>32</v>
      </c>
      <c r="AB19" s="12"/>
      <c r="AC19" s="25" t="s">
        <v>36</v>
      </c>
      <c r="AD19" s="25" t="s">
        <v>32</v>
      </c>
      <c r="AE19" s="25" t="s">
        <v>66</v>
      </c>
      <c r="AF19" s="25" t="s">
        <v>12</v>
      </c>
      <c r="AG19" s="25" t="s">
        <v>14</v>
      </c>
      <c r="AH19" s="25" t="s">
        <v>30</v>
      </c>
      <c r="AI19" s="25" t="s">
        <v>29</v>
      </c>
      <c r="AJ19" s="344" t="s">
        <v>41</v>
      </c>
      <c r="AK19" s="12"/>
      <c r="AL19" s="25" t="s">
        <v>14</v>
      </c>
      <c r="AM19" s="25" t="s">
        <v>35</v>
      </c>
      <c r="AN19" s="25" t="s">
        <v>38</v>
      </c>
      <c r="AO19" s="25" t="s">
        <v>32</v>
      </c>
      <c r="AP19" s="363" t="s">
        <v>40</v>
      </c>
      <c r="AQ19" s="363" t="s">
        <v>43</v>
      </c>
      <c r="AR19" s="25" t="s">
        <v>12</v>
      </c>
      <c r="AS19" s="11" t="s">
        <v>33</v>
      </c>
      <c r="AT19" s="358">
        <f t="shared" si="0"/>
        <v>6</v>
      </c>
      <c r="AU19" s="358">
        <f t="shared" si="1"/>
        <v>5</v>
      </c>
      <c r="AV19" s="358">
        <f t="shared" si="2"/>
        <v>5</v>
      </c>
      <c r="AW19" s="358">
        <f t="shared" si="3"/>
        <v>2</v>
      </c>
      <c r="AX19" s="358">
        <f t="shared" si="4"/>
        <v>2</v>
      </c>
      <c r="AY19" s="358">
        <f t="shared" si="5"/>
        <v>3</v>
      </c>
      <c r="AZ19" s="358">
        <f t="shared" si="6"/>
        <v>3</v>
      </c>
      <c r="BA19" s="358">
        <f t="shared" si="7"/>
        <v>3</v>
      </c>
      <c r="BB19" s="358">
        <f t="shared" si="8"/>
        <v>1</v>
      </c>
      <c r="BC19" s="358">
        <f t="shared" si="9"/>
        <v>1</v>
      </c>
      <c r="BD19" s="358">
        <f t="shared" si="10"/>
        <v>1</v>
      </c>
      <c r="BE19" s="358">
        <f t="shared" si="11"/>
        <v>1</v>
      </c>
      <c r="BF19" s="358">
        <f t="shared" si="12"/>
        <v>1</v>
      </c>
      <c r="BG19" s="358">
        <f t="shared" si="13"/>
        <v>1</v>
      </c>
      <c r="BH19" s="358">
        <f t="shared" si="14"/>
        <v>1</v>
      </c>
      <c r="BI19" s="358">
        <f t="shared" si="15"/>
        <v>0</v>
      </c>
    </row>
    <row r="20" s="26" customFormat="1" ht="47.1" customHeight="1" spans="1:61">
      <c r="A20" s="343" t="s">
        <v>67</v>
      </c>
      <c r="B20" s="25" t="s">
        <v>14</v>
      </c>
      <c r="C20" s="25" t="s">
        <v>35</v>
      </c>
      <c r="D20" s="25" t="s">
        <v>32</v>
      </c>
      <c r="E20" s="25" t="s">
        <v>12</v>
      </c>
      <c r="F20" s="25" t="s">
        <v>30</v>
      </c>
      <c r="G20" s="25" t="s">
        <v>33</v>
      </c>
      <c r="H20" s="25" t="s">
        <v>29</v>
      </c>
      <c r="I20" s="344" t="s">
        <v>34</v>
      </c>
      <c r="J20" s="12"/>
      <c r="K20" s="25" t="s">
        <v>32</v>
      </c>
      <c r="L20" s="25" t="s">
        <v>66</v>
      </c>
      <c r="M20" s="25" t="s">
        <v>31</v>
      </c>
      <c r="N20" s="25" t="s">
        <v>12</v>
      </c>
      <c r="O20" s="25" t="s">
        <v>14</v>
      </c>
      <c r="P20" s="25" t="s">
        <v>33</v>
      </c>
      <c r="Q20" s="25" t="s">
        <v>36</v>
      </c>
      <c r="R20" s="344" t="s">
        <v>37</v>
      </c>
      <c r="S20" s="37"/>
      <c r="T20" s="25" t="s">
        <v>29</v>
      </c>
      <c r="U20" s="25" t="s">
        <v>43</v>
      </c>
      <c r="V20" s="25" t="s">
        <v>30</v>
      </c>
      <c r="W20" s="25" t="s">
        <v>26</v>
      </c>
      <c r="X20" s="25" t="s">
        <v>14</v>
      </c>
      <c r="Y20" s="25" t="s">
        <v>32</v>
      </c>
      <c r="Z20" s="25" t="s">
        <v>12</v>
      </c>
      <c r="AA20" s="25" t="s">
        <v>12</v>
      </c>
      <c r="AB20" s="12"/>
      <c r="AC20" s="25" t="s">
        <v>12</v>
      </c>
      <c r="AD20" s="360" t="s">
        <v>14</v>
      </c>
      <c r="AE20" s="360" t="s">
        <v>35</v>
      </c>
      <c r="AF20" s="25" t="s">
        <v>33</v>
      </c>
      <c r="AG20" s="25" t="s">
        <v>29</v>
      </c>
      <c r="AH20" s="25" t="s">
        <v>32</v>
      </c>
      <c r="AI20" s="25" t="s">
        <v>66</v>
      </c>
      <c r="AJ20" s="344" t="s">
        <v>41</v>
      </c>
      <c r="AK20" s="12"/>
      <c r="AL20" s="25" t="s">
        <v>38</v>
      </c>
      <c r="AM20" s="25" t="s">
        <v>39</v>
      </c>
      <c r="AN20" s="25" t="s">
        <v>14</v>
      </c>
      <c r="AO20" s="25" t="s">
        <v>30</v>
      </c>
      <c r="AP20" s="25" t="s">
        <v>32</v>
      </c>
      <c r="AQ20" s="12" t="s">
        <v>12</v>
      </c>
      <c r="AR20" s="25" t="s">
        <v>36</v>
      </c>
      <c r="AS20" s="344" t="s">
        <v>40</v>
      </c>
      <c r="AT20" s="358">
        <f t="shared" si="0"/>
        <v>6</v>
      </c>
      <c r="AU20" s="358">
        <f t="shared" si="1"/>
        <v>5</v>
      </c>
      <c r="AV20" s="358">
        <f t="shared" si="2"/>
        <v>5</v>
      </c>
      <c r="AW20" s="358">
        <f t="shared" si="3"/>
        <v>2</v>
      </c>
      <c r="AX20" s="358">
        <f t="shared" si="4"/>
        <v>2</v>
      </c>
      <c r="AY20" s="358">
        <f t="shared" si="5"/>
        <v>3</v>
      </c>
      <c r="AZ20" s="358">
        <f t="shared" si="6"/>
        <v>3</v>
      </c>
      <c r="BA20" s="358">
        <f t="shared" si="7"/>
        <v>3</v>
      </c>
      <c r="BB20" s="358">
        <f t="shared" si="8"/>
        <v>1</v>
      </c>
      <c r="BC20" s="358">
        <f t="shared" si="9"/>
        <v>1</v>
      </c>
      <c r="BD20" s="358">
        <f t="shared" si="10"/>
        <v>1</v>
      </c>
      <c r="BE20" s="358">
        <f t="shared" si="11"/>
        <v>1</v>
      </c>
      <c r="BF20" s="358">
        <f t="shared" si="12"/>
        <v>1</v>
      </c>
      <c r="BG20" s="358">
        <f t="shared" si="13"/>
        <v>1</v>
      </c>
      <c r="BH20" s="358">
        <f t="shared" si="14"/>
        <v>1</v>
      </c>
      <c r="BI20" s="358">
        <f t="shared" si="15"/>
        <v>0</v>
      </c>
    </row>
    <row r="21" s="26" customFormat="1" ht="47.1" customHeight="1" spans="1:61">
      <c r="A21" s="343" t="s">
        <v>68</v>
      </c>
      <c r="B21" s="25" t="s">
        <v>12</v>
      </c>
      <c r="C21" s="25" t="s">
        <v>32</v>
      </c>
      <c r="D21" s="25" t="s">
        <v>35</v>
      </c>
      <c r="E21" s="25" t="s">
        <v>36</v>
      </c>
      <c r="F21" s="25" t="s">
        <v>14</v>
      </c>
      <c r="G21" s="25" t="s">
        <v>29</v>
      </c>
      <c r="H21" s="12" t="s">
        <v>33</v>
      </c>
      <c r="I21" s="344" t="s">
        <v>34</v>
      </c>
      <c r="J21" s="12"/>
      <c r="K21" s="25" t="s">
        <v>32</v>
      </c>
      <c r="L21" s="25" t="s">
        <v>69</v>
      </c>
      <c r="M21" s="25" t="s">
        <v>29</v>
      </c>
      <c r="N21" s="25" t="s">
        <v>12</v>
      </c>
      <c r="O21" s="25" t="s">
        <v>12</v>
      </c>
      <c r="P21" s="25" t="s">
        <v>38</v>
      </c>
      <c r="Q21" s="25" t="s">
        <v>14</v>
      </c>
      <c r="R21" s="344" t="s">
        <v>37</v>
      </c>
      <c r="S21" s="37"/>
      <c r="T21" s="25" t="s">
        <v>43</v>
      </c>
      <c r="U21" s="25" t="s">
        <v>36</v>
      </c>
      <c r="V21" s="25" t="s">
        <v>12</v>
      </c>
      <c r="W21" s="25" t="s">
        <v>14</v>
      </c>
      <c r="X21" s="25" t="s">
        <v>26</v>
      </c>
      <c r="Y21" s="25" t="s">
        <v>35</v>
      </c>
      <c r="Z21" s="25" t="s">
        <v>30</v>
      </c>
      <c r="AA21" s="25" t="s">
        <v>32</v>
      </c>
      <c r="AB21" s="37"/>
      <c r="AC21" s="25" t="s">
        <v>12</v>
      </c>
      <c r="AD21" s="360" t="s">
        <v>30</v>
      </c>
      <c r="AE21" s="360" t="s">
        <v>14</v>
      </c>
      <c r="AF21" s="25" t="s">
        <v>32</v>
      </c>
      <c r="AG21" s="25" t="s">
        <v>69</v>
      </c>
      <c r="AH21" s="25" t="s">
        <v>31</v>
      </c>
      <c r="AI21" s="25" t="s">
        <v>33</v>
      </c>
      <c r="AJ21" s="344" t="s">
        <v>41</v>
      </c>
      <c r="AK21" s="37"/>
      <c r="AL21" s="25" t="s">
        <v>14</v>
      </c>
      <c r="AM21" s="25" t="s">
        <v>32</v>
      </c>
      <c r="AN21" s="25" t="s">
        <v>39</v>
      </c>
      <c r="AO21" s="25" t="s">
        <v>29</v>
      </c>
      <c r="AP21" s="25" t="s">
        <v>40</v>
      </c>
      <c r="AQ21" s="25" t="s">
        <v>33</v>
      </c>
      <c r="AR21" s="25" t="s">
        <v>12</v>
      </c>
      <c r="AS21" s="344" t="s">
        <v>30</v>
      </c>
      <c r="AT21" s="358">
        <f t="shared" si="0"/>
        <v>6</v>
      </c>
      <c r="AU21" s="358">
        <f t="shared" si="1"/>
        <v>5</v>
      </c>
      <c r="AV21" s="358">
        <f t="shared" si="2"/>
        <v>5</v>
      </c>
      <c r="AW21" s="358">
        <f t="shared" si="3"/>
        <v>2</v>
      </c>
      <c r="AX21" s="358">
        <f t="shared" si="4"/>
        <v>2</v>
      </c>
      <c r="AY21" s="358">
        <f t="shared" si="5"/>
        <v>3</v>
      </c>
      <c r="AZ21" s="358">
        <f t="shared" si="6"/>
        <v>3</v>
      </c>
      <c r="BA21" s="358">
        <f t="shared" si="7"/>
        <v>3</v>
      </c>
      <c r="BB21" s="358">
        <f t="shared" si="8"/>
        <v>1</v>
      </c>
      <c r="BC21" s="358">
        <f t="shared" si="9"/>
        <v>1</v>
      </c>
      <c r="BD21" s="358">
        <f t="shared" si="10"/>
        <v>1</v>
      </c>
      <c r="BE21" s="358">
        <f t="shared" si="11"/>
        <v>1</v>
      </c>
      <c r="BF21" s="358">
        <f t="shared" si="12"/>
        <v>1</v>
      </c>
      <c r="BG21" s="358">
        <f t="shared" si="13"/>
        <v>1</v>
      </c>
      <c r="BH21" s="358">
        <f t="shared" si="14"/>
        <v>1</v>
      </c>
      <c r="BI21" s="358">
        <f t="shared" si="15"/>
        <v>0</v>
      </c>
    </row>
    <row r="22" s="26" customFormat="1" ht="47.1" customHeight="1" spans="1:61">
      <c r="A22" s="343" t="s">
        <v>70</v>
      </c>
      <c r="B22" s="25" t="s">
        <v>31</v>
      </c>
      <c r="C22" s="25" t="s">
        <v>14</v>
      </c>
      <c r="D22" s="25" t="s">
        <v>12</v>
      </c>
      <c r="E22" s="25" t="s">
        <v>33</v>
      </c>
      <c r="F22" s="12" t="s">
        <v>32</v>
      </c>
      <c r="G22" s="25" t="s">
        <v>30</v>
      </c>
      <c r="H22" s="25" t="s">
        <v>38</v>
      </c>
      <c r="I22" s="344" t="s">
        <v>34</v>
      </c>
      <c r="J22" s="37"/>
      <c r="K22" s="25" t="s">
        <v>12</v>
      </c>
      <c r="L22" s="25" t="s">
        <v>12</v>
      </c>
      <c r="M22" s="25" t="s">
        <v>35</v>
      </c>
      <c r="N22" s="25" t="s">
        <v>32</v>
      </c>
      <c r="O22" s="25" t="s">
        <v>69</v>
      </c>
      <c r="P22" s="25" t="s">
        <v>14</v>
      </c>
      <c r="Q22" s="25" t="s">
        <v>30</v>
      </c>
      <c r="R22" s="344" t="s">
        <v>37</v>
      </c>
      <c r="S22" s="12"/>
      <c r="T22" s="25" t="s">
        <v>14</v>
      </c>
      <c r="U22" s="25" t="s">
        <v>26</v>
      </c>
      <c r="V22" s="25" t="s">
        <v>29</v>
      </c>
      <c r="W22" s="25" t="s">
        <v>36</v>
      </c>
      <c r="X22" s="25" t="s">
        <v>12</v>
      </c>
      <c r="Y22" s="25" t="s">
        <v>33</v>
      </c>
      <c r="Z22" s="25" t="s">
        <v>32</v>
      </c>
      <c r="AA22" s="25" t="s">
        <v>30</v>
      </c>
      <c r="AB22" s="37"/>
      <c r="AC22" s="25" t="s">
        <v>32</v>
      </c>
      <c r="AD22" s="25" t="s">
        <v>69</v>
      </c>
      <c r="AE22" s="25" t="s">
        <v>12</v>
      </c>
      <c r="AF22" s="25" t="s">
        <v>29</v>
      </c>
      <c r="AG22" s="25" t="s">
        <v>14</v>
      </c>
      <c r="AH22" s="25" t="s">
        <v>40</v>
      </c>
      <c r="AI22" s="25" t="s">
        <v>39</v>
      </c>
      <c r="AJ22" s="344" t="s">
        <v>41</v>
      </c>
      <c r="AK22" s="25"/>
      <c r="AL22" s="25" t="s">
        <v>29</v>
      </c>
      <c r="AM22" s="25" t="s">
        <v>35</v>
      </c>
      <c r="AN22" s="25" t="s">
        <v>33</v>
      </c>
      <c r="AO22" s="25" t="s">
        <v>14</v>
      </c>
      <c r="AP22" s="25" t="s">
        <v>32</v>
      </c>
      <c r="AQ22" s="25" t="s">
        <v>12</v>
      </c>
      <c r="AR22" s="25" t="s">
        <v>36</v>
      </c>
      <c r="AS22" s="344" t="s">
        <v>43</v>
      </c>
      <c r="AT22" s="358">
        <f t="shared" si="0"/>
        <v>6</v>
      </c>
      <c r="AU22" s="358">
        <f t="shared" si="1"/>
        <v>5</v>
      </c>
      <c r="AV22" s="358">
        <f t="shared" si="2"/>
        <v>5</v>
      </c>
      <c r="AW22" s="358">
        <f t="shared" si="3"/>
        <v>2</v>
      </c>
      <c r="AX22" s="358">
        <f t="shared" si="4"/>
        <v>2</v>
      </c>
      <c r="AY22" s="358">
        <f t="shared" si="5"/>
        <v>3</v>
      </c>
      <c r="AZ22" s="358">
        <f t="shared" si="6"/>
        <v>3</v>
      </c>
      <c r="BA22" s="358">
        <f t="shared" si="7"/>
        <v>3</v>
      </c>
      <c r="BB22" s="358">
        <f t="shared" si="8"/>
        <v>1</v>
      </c>
      <c r="BC22" s="358">
        <f t="shared" si="9"/>
        <v>1</v>
      </c>
      <c r="BD22" s="358">
        <f t="shared" si="10"/>
        <v>1</v>
      </c>
      <c r="BE22" s="358">
        <f t="shared" si="11"/>
        <v>1</v>
      </c>
      <c r="BF22" s="358">
        <f t="shared" si="12"/>
        <v>1</v>
      </c>
      <c r="BG22" s="358">
        <f t="shared" si="13"/>
        <v>1</v>
      </c>
      <c r="BH22" s="358">
        <f t="shared" si="14"/>
        <v>1</v>
      </c>
      <c r="BI22" s="358">
        <f t="shared" si="15"/>
        <v>0</v>
      </c>
    </row>
    <row r="23" s="7" customFormat="1" ht="47.1" customHeight="1" spans="1:61">
      <c r="A23" s="343" t="s">
        <v>71</v>
      </c>
      <c r="B23" s="25" t="s">
        <v>14</v>
      </c>
      <c r="C23" s="25" t="s">
        <v>32</v>
      </c>
      <c r="D23" s="25" t="s">
        <v>30</v>
      </c>
      <c r="E23" s="25" t="s">
        <v>29</v>
      </c>
      <c r="F23" s="25" t="s">
        <v>12</v>
      </c>
      <c r="G23" s="25" t="s">
        <v>33</v>
      </c>
      <c r="H23" s="25" t="s">
        <v>43</v>
      </c>
      <c r="I23" s="344" t="s">
        <v>34</v>
      </c>
      <c r="J23" s="37"/>
      <c r="K23" s="25" t="s">
        <v>29</v>
      </c>
      <c r="L23" s="25" t="s">
        <v>12</v>
      </c>
      <c r="M23" s="25" t="s">
        <v>12</v>
      </c>
      <c r="N23" s="25" t="s">
        <v>35</v>
      </c>
      <c r="O23" s="25" t="s">
        <v>14</v>
      </c>
      <c r="P23" s="25" t="s">
        <v>32</v>
      </c>
      <c r="Q23" s="25" t="s">
        <v>72</v>
      </c>
      <c r="R23" s="344" t="s">
        <v>37</v>
      </c>
      <c r="S23" s="12"/>
      <c r="T23" s="25" t="s">
        <v>29</v>
      </c>
      <c r="U23" s="25" t="s">
        <v>12</v>
      </c>
      <c r="V23" s="25" t="s">
        <v>36</v>
      </c>
      <c r="W23" s="25" t="s">
        <v>14</v>
      </c>
      <c r="X23" s="25" t="s">
        <v>26</v>
      </c>
      <c r="Y23" s="25" t="s">
        <v>32</v>
      </c>
      <c r="Z23" s="25" t="s">
        <v>33</v>
      </c>
      <c r="AA23" s="25" t="s">
        <v>39</v>
      </c>
      <c r="AB23" s="12"/>
      <c r="AC23" s="25" t="s">
        <v>32</v>
      </c>
      <c r="AD23" s="25" t="s">
        <v>35</v>
      </c>
      <c r="AE23" s="25" t="s">
        <v>38</v>
      </c>
      <c r="AF23" s="25" t="s">
        <v>12</v>
      </c>
      <c r="AG23" s="25" t="s">
        <v>14</v>
      </c>
      <c r="AH23" s="25" t="s">
        <v>36</v>
      </c>
      <c r="AI23" s="25" t="s">
        <v>30</v>
      </c>
      <c r="AJ23" s="344" t="s">
        <v>41</v>
      </c>
      <c r="AK23" s="12"/>
      <c r="AL23" s="25" t="s">
        <v>31</v>
      </c>
      <c r="AM23" s="25" t="s">
        <v>33</v>
      </c>
      <c r="AN23" s="25" t="s">
        <v>14</v>
      </c>
      <c r="AO23" s="25" t="s">
        <v>40</v>
      </c>
      <c r="AP23" s="25" t="s">
        <v>30</v>
      </c>
      <c r="AQ23" s="25" t="s">
        <v>32</v>
      </c>
      <c r="AR23" s="25" t="s">
        <v>72</v>
      </c>
      <c r="AS23" s="344" t="s">
        <v>12</v>
      </c>
      <c r="AT23" s="358">
        <f t="shared" si="0"/>
        <v>6</v>
      </c>
      <c r="AU23" s="358">
        <f t="shared" si="1"/>
        <v>5</v>
      </c>
      <c r="AV23" s="358">
        <f t="shared" si="2"/>
        <v>5</v>
      </c>
      <c r="AW23" s="358">
        <f t="shared" si="3"/>
        <v>2</v>
      </c>
      <c r="AX23" s="358">
        <f t="shared" si="4"/>
        <v>2</v>
      </c>
      <c r="AY23" s="358">
        <f t="shared" si="5"/>
        <v>3</v>
      </c>
      <c r="AZ23" s="358">
        <f t="shared" si="6"/>
        <v>3</v>
      </c>
      <c r="BA23" s="358">
        <f t="shared" si="7"/>
        <v>3</v>
      </c>
      <c r="BB23" s="358">
        <f t="shared" si="8"/>
        <v>1</v>
      </c>
      <c r="BC23" s="358">
        <f t="shared" si="9"/>
        <v>1</v>
      </c>
      <c r="BD23" s="358">
        <f t="shared" si="10"/>
        <v>1</v>
      </c>
      <c r="BE23" s="358">
        <f t="shared" si="11"/>
        <v>1</v>
      </c>
      <c r="BF23" s="358">
        <f t="shared" si="12"/>
        <v>1</v>
      </c>
      <c r="BG23" s="358">
        <f t="shared" si="13"/>
        <v>1</v>
      </c>
      <c r="BH23" s="358">
        <f t="shared" si="14"/>
        <v>1</v>
      </c>
      <c r="BI23" s="358">
        <f t="shared" si="15"/>
        <v>0</v>
      </c>
    </row>
    <row r="24" s="7" customFormat="1" ht="47.1" customHeight="1" spans="1:61">
      <c r="A24" s="343" t="s">
        <v>73</v>
      </c>
      <c r="B24" s="25" t="s">
        <v>32</v>
      </c>
      <c r="C24" s="360" t="s">
        <v>38</v>
      </c>
      <c r="D24" s="25" t="s">
        <v>14</v>
      </c>
      <c r="E24" s="25" t="s">
        <v>12</v>
      </c>
      <c r="F24" s="25" t="s">
        <v>29</v>
      </c>
      <c r="G24" s="25" t="s">
        <v>35</v>
      </c>
      <c r="H24" s="25" t="s">
        <v>33</v>
      </c>
      <c r="I24" s="344" t="s">
        <v>34</v>
      </c>
      <c r="J24" s="12"/>
      <c r="K24" s="360" t="s">
        <v>33</v>
      </c>
      <c r="L24" s="25" t="s">
        <v>72</v>
      </c>
      <c r="M24" s="25" t="s">
        <v>32</v>
      </c>
      <c r="N24" s="25" t="s">
        <v>14</v>
      </c>
      <c r="O24" s="25" t="s">
        <v>36</v>
      </c>
      <c r="P24" s="25" t="s">
        <v>12</v>
      </c>
      <c r="Q24" s="25" t="s">
        <v>12</v>
      </c>
      <c r="R24" s="344" t="s">
        <v>37</v>
      </c>
      <c r="S24" s="12"/>
      <c r="T24" s="25" t="s">
        <v>26</v>
      </c>
      <c r="U24" s="25" t="s">
        <v>14</v>
      </c>
      <c r="V24" s="25" t="s">
        <v>12</v>
      </c>
      <c r="W24" s="360" t="s">
        <v>31</v>
      </c>
      <c r="X24" s="25" t="s">
        <v>30</v>
      </c>
      <c r="Y24" s="12" t="s">
        <v>43</v>
      </c>
      <c r="Z24" s="25" t="s">
        <v>32</v>
      </c>
      <c r="AA24" s="360" t="s">
        <v>36</v>
      </c>
      <c r="AB24" s="12"/>
      <c r="AC24" s="25" t="s">
        <v>12</v>
      </c>
      <c r="AD24" s="360" t="s">
        <v>14</v>
      </c>
      <c r="AE24" s="360" t="s">
        <v>30</v>
      </c>
      <c r="AF24" s="25" t="s">
        <v>32</v>
      </c>
      <c r="AG24" s="25" t="s">
        <v>39</v>
      </c>
      <c r="AH24" s="360" t="s">
        <v>35</v>
      </c>
      <c r="AI24" s="25" t="s">
        <v>29</v>
      </c>
      <c r="AJ24" s="344" t="s">
        <v>41</v>
      </c>
      <c r="AK24" s="12"/>
      <c r="AL24" s="25" t="s">
        <v>32</v>
      </c>
      <c r="AM24" s="25" t="s">
        <v>72</v>
      </c>
      <c r="AN24" s="25" t="s">
        <v>29</v>
      </c>
      <c r="AO24" s="25" t="s">
        <v>40</v>
      </c>
      <c r="AP24" s="25" t="s">
        <v>14</v>
      </c>
      <c r="AQ24" s="25" t="s">
        <v>12</v>
      </c>
      <c r="AR24" s="25" t="s">
        <v>30</v>
      </c>
      <c r="AS24" s="344" t="s">
        <v>33</v>
      </c>
      <c r="AT24" s="358">
        <f t="shared" si="0"/>
        <v>6</v>
      </c>
      <c r="AU24" s="358">
        <f t="shared" si="1"/>
        <v>5</v>
      </c>
      <c r="AV24" s="358">
        <f t="shared" si="2"/>
        <v>5</v>
      </c>
      <c r="AW24" s="358">
        <f t="shared" si="3"/>
        <v>2</v>
      </c>
      <c r="AX24" s="358">
        <f t="shared" si="4"/>
        <v>2</v>
      </c>
      <c r="AY24" s="358">
        <f t="shared" si="5"/>
        <v>3</v>
      </c>
      <c r="AZ24" s="358">
        <f t="shared" si="6"/>
        <v>3</v>
      </c>
      <c r="BA24" s="358">
        <f t="shared" si="7"/>
        <v>3</v>
      </c>
      <c r="BB24" s="358">
        <f t="shared" si="8"/>
        <v>1</v>
      </c>
      <c r="BC24" s="358">
        <f t="shared" si="9"/>
        <v>1</v>
      </c>
      <c r="BD24" s="358">
        <f t="shared" si="10"/>
        <v>1</v>
      </c>
      <c r="BE24" s="358">
        <f t="shared" si="11"/>
        <v>1</v>
      </c>
      <c r="BF24" s="358">
        <f t="shared" si="12"/>
        <v>1</v>
      </c>
      <c r="BG24" s="358">
        <f t="shared" si="13"/>
        <v>1</v>
      </c>
      <c r="BH24" s="358">
        <f t="shared" si="14"/>
        <v>1</v>
      </c>
      <c r="BI24" s="358">
        <f t="shared" si="15"/>
        <v>0</v>
      </c>
    </row>
    <row r="25" s="7" customFormat="1" ht="47.1" customHeight="1" spans="1:61">
      <c r="A25" s="343" t="s">
        <v>74</v>
      </c>
      <c r="B25" s="25" t="s">
        <v>33</v>
      </c>
      <c r="C25" s="25" t="s">
        <v>14</v>
      </c>
      <c r="D25" s="25" t="s">
        <v>43</v>
      </c>
      <c r="E25" s="25" t="s">
        <v>12</v>
      </c>
      <c r="F25" s="25" t="s">
        <v>32</v>
      </c>
      <c r="G25" s="25" t="s">
        <v>38</v>
      </c>
      <c r="H25" s="25" t="s">
        <v>30</v>
      </c>
      <c r="I25" s="344" t="s">
        <v>34</v>
      </c>
      <c r="J25" s="37"/>
      <c r="K25" s="25" t="s">
        <v>32</v>
      </c>
      <c r="L25" s="25" t="s">
        <v>75</v>
      </c>
      <c r="M25" s="25" t="s">
        <v>29</v>
      </c>
      <c r="N25" s="25" t="s">
        <v>33</v>
      </c>
      <c r="O25" s="25" t="s">
        <v>14</v>
      </c>
      <c r="P25" s="25" t="s">
        <v>12</v>
      </c>
      <c r="Q25" s="25" t="s">
        <v>12</v>
      </c>
      <c r="R25" s="344" t="s">
        <v>37</v>
      </c>
      <c r="S25" s="12"/>
      <c r="T25" s="12" t="s">
        <v>39</v>
      </c>
      <c r="U25" s="25" t="s">
        <v>36</v>
      </c>
      <c r="V25" s="25" t="s">
        <v>12</v>
      </c>
      <c r="W25" s="25" t="s">
        <v>14</v>
      </c>
      <c r="X25" s="25" t="s">
        <v>26</v>
      </c>
      <c r="Y25" s="25" t="s">
        <v>35</v>
      </c>
      <c r="Z25" s="25" t="s">
        <v>32</v>
      </c>
      <c r="AA25" s="25" t="s">
        <v>30</v>
      </c>
      <c r="AB25" s="37"/>
      <c r="AC25" s="25" t="s">
        <v>29</v>
      </c>
      <c r="AD25" s="25" t="s">
        <v>12</v>
      </c>
      <c r="AE25" s="25" t="s">
        <v>32</v>
      </c>
      <c r="AF25" s="25" t="s">
        <v>75</v>
      </c>
      <c r="AG25" s="362" t="s">
        <v>36</v>
      </c>
      <c r="AH25" s="25" t="s">
        <v>14</v>
      </c>
      <c r="AI25" s="25" t="s">
        <v>33</v>
      </c>
      <c r="AJ25" s="344" t="s">
        <v>41</v>
      </c>
      <c r="AK25" s="37"/>
      <c r="AL25" s="25" t="s">
        <v>32</v>
      </c>
      <c r="AM25" s="25" t="s">
        <v>14</v>
      </c>
      <c r="AN25" s="25" t="s">
        <v>30</v>
      </c>
      <c r="AO25" s="25" t="s">
        <v>29</v>
      </c>
      <c r="AP25" s="25" t="s">
        <v>35</v>
      </c>
      <c r="AQ25" s="360" t="s">
        <v>40</v>
      </c>
      <c r="AR25" s="25" t="s">
        <v>31</v>
      </c>
      <c r="AS25" s="25" t="s">
        <v>12</v>
      </c>
      <c r="AT25" s="358">
        <f t="shared" si="0"/>
        <v>6</v>
      </c>
      <c r="AU25" s="358">
        <f t="shared" si="1"/>
        <v>5</v>
      </c>
      <c r="AV25" s="358">
        <f t="shared" si="2"/>
        <v>5</v>
      </c>
      <c r="AW25" s="358">
        <f t="shared" si="3"/>
        <v>2</v>
      </c>
      <c r="AX25" s="358">
        <f t="shared" si="4"/>
        <v>2</v>
      </c>
      <c r="AY25" s="358">
        <f t="shared" si="5"/>
        <v>3</v>
      </c>
      <c r="AZ25" s="358">
        <f t="shared" si="6"/>
        <v>3</v>
      </c>
      <c r="BA25" s="358">
        <f t="shared" si="7"/>
        <v>3</v>
      </c>
      <c r="BB25" s="358">
        <f t="shared" si="8"/>
        <v>1</v>
      </c>
      <c r="BC25" s="358">
        <f t="shared" si="9"/>
        <v>1</v>
      </c>
      <c r="BD25" s="358">
        <f t="shared" si="10"/>
        <v>1</v>
      </c>
      <c r="BE25" s="358">
        <f t="shared" si="11"/>
        <v>1</v>
      </c>
      <c r="BF25" s="358">
        <f t="shared" si="12"/>
        <v>1</v>
      </c>
      <c r="BG25" s="358">
        <f t="shared" si="13"/>
        <v>1</v>
      </c>
      <c r="BH25" s="358">
        <f t="shared" si="14"/>
        <v>1</v>
      </c>
      <c r="BI25" s="358">
        <f t="shared" si="15"/>
        <v>0</v>
      </c>
    </row>
    <row r="26" s="7" customFormat="1" ht="47.1" customHeight="1" spans="1:61">
      <c r="A26" s="343" t="s">
        <v>76</v>
      </c>
      <c r="B26" s="25" t="s">
        <v>14</v>
      </c>
      <c r="C26" s="25" t="s">
        <v>32</v>
      </c>
      <c r="D26" s="25" t="s">
        <v>29</v>
      </c>
      <c r="E26" s="25" t="s">
        <v>30</v>
      </c>
      <c r="F26" s="25" t="s">
        <v>31</v>
      </c>
      <c r="G26" s="25" t="s">
        <v>12</v>
      </c>
      <c r="H26" s="25" t="s">
        <v>39</v>
      </c>
      <c r="I26" s="344" t="s">
        <v>34</v>
      </c>
      <c r="J26" s="37"/>
      <c r="K26" s="25" t="s">
        <v>12</v>
      </c>
      <c r="L26" s="25" t="s">
        <v>12</v>
      </c>
      <c r="M26" s="25" t="s">
        <v>35</v>
      </c>
      <c r="N26" s="25" t="s">
        <v>14</v>
      </c>
      <c r="O26" s="25" t="s">
        <v>33</v>
      </c>
      <c r="P26" s="25" t="s">
        <v>32</v>
      </c>
      <c r="Q26" s="25" t="s">
        <v>75</v>
      </c>
      <c r="R26" s="344" t="s">
        <v>37</v>
      </c>
      <c r="S26" s="12"/>
      <c r="T26" s="25" t="s">
        <v>26</v>
      </c>
      <c r="U26" s="25" t="s">
        <v>14</v>
      </c>
      <c r="V26" s="25" t="s">
        <v>30</v>
      </c>
      <c r="W26" s="25" t="s">
        <v>12</v>
      </c>
      <c r="X26" s="12" t="s">
        <v>36</v>
      </c>
      <c r="Y26" s="25" t="s">
        <v>33</v>
      </c>
      <c r="Z26" s="25" t="s">
        <v>29</v>
      </c>
      <c r="AA26" s="25" t="s">
        <v>32</v>
      </c>
      <c r="AB26" s="12"/>
      <c r="AC26" s="25" t="s">
        <v>12</v>
      </c>
      <c r="AD26" s="25" t="s">
        <v>43</v>
      </c>
      <c r="AE26" s="25" t="s">
        <v>14</v>
      </c>
      <c r="AF26" s="25" t="s">
        <v>29</v>
      </c>
      <c r="AG26" s="344" t="s">
        <v>40</v>
      </c>
      <c r="AH26" s="25" t="s">
        <v>32</v>
      </c>
      <c r="AI26" s="25" t="s">
        <v>75</v>
      </c>
      <c r="AJ26" s="344" t="s">
        <v>41</v>
      </c>
      <c r="AK26" s="37"/>
      <c r="AL26" s="25" t="s">
        <v>33</v>
      </c>
      <c r="AM26" s="25" t="s">
        <v>38</v>
      </c>
      <c r="AN26" s="25" t="s">
        <v>32</v>
      </c>
      <c r="AO26" s="25" t="s">
        <v>35</v>
      </c>
      <c r="AP26" s="25" t="s">
        <v>14</v>
      </c>
      <c r="AQ26" s="25" t="s">
        <v>12</v>
      </c>
      <c r="AR26" s="25" t="s">
        <v>30</v>
      </c>
      <c r="AS26" s="25" t="s">
        <v>36</v>
      </c>
      <c r="AT26" s="358">
        <f t="shared" si="0"/>
        <v>6</v>
      </c>
      <c r="AU26" s="358">
        <f t="shared" si="1"/>
        <v>5</v>
      </c>
      <c r="AV26" s="358">
        <f t="shared" si="2"/>
        <v>5</v>
      </c>
      <c r="AW26" s="358">
        <f t="shared" si="3"/>
        <v>2</v>
      </c>
      <c r="AX26" s="358">
        <f t="shared" si="4"/>
        <v>2</v>
      </c>
      <c r="AY26" s="358">
        <f t="shared" si="5"/>
        <v>3</v>
      </c>
      <c r="AZ26" s="358">
        <f t="shared" si="6"/>
        <v>3</v>
      </c>
      <c r="BA26" s="358">
        <f t="shared" si="7"/>
        <v>3</v>
      </c>
      <c r="BB26" s="358">
        <f t="shared" si="8"/>
        <v>1</v>
      </c>
      <c r="BC26" s="358">
        <f t="shared" si="9"/>
        <v>1</v>
      </c>
      <c r="BD26" s="358">
        <f t="shared" si="10"/>
        <v>1</v>
      </c>
      <c r="BE26" s="358">
        <f t="shared" si="11"/>
        <v>1</v>
      </c>
      <c r="BF26" s="358">
        <f t="shared" si="12"/>
        <v>1</v>
      </c>
      <c r="BG26" s="358">
        <f t="shared" si="13"/>
        <v>1</v>
      </c>
      <c r="BH26" s="358">
        <f t="shared" si="14"/>
        <v>1</v>
      </c>
      <c r="BI26" s="358">
        <f t="shared" si="15"/>
        <v>0</v>
      </c>
    </row>
    <row r="27" s="7" customFormat="1" ht="47.1" customHeight="1" spans="1:61">
      <c r="A27" s="343" t="s">
        <v>77</v>
      </c>
      <c r="B27" s="25" t="s">
        <v>14</v>
      </c>
      <c r="C27" s="25" t="s">
        <v>29</v>
      </c>
      <c r="D27" s="25" t="s">
        <v>32</v>
      </c>
      <c r="E27" s="25" t="s">
        <v>12</v>
      </c>
      <c r="F27" s="25" t="s">
        <v>30</v>
      </c>
      <c r="G27" s="25" t="s">
        <v>33</v>
      </c>
      <c r="H27" s="25" t="s">
        <v>35</v>
      </c>
      <c r="I27" s="344" t="s">
        <v>34</v>
      </c>
      <c r="J27" s="12"/>
      <c r="K27" s="25" t="s">
        <v>32</v>
      </c>
      <c r="L27" s="25" t="s">
        <v>78</v>
      </c>
      <c r="M27" s="25" t="s">
        <v>14</v>
      </c>
      <c r="N27" s="25" t="s">
        <v>33</v>
      </c>
      <c r="O27" s="25" t="s">
        <v>29</v>
      </c>
      <c r="P27" s="25" t="s">
        <v>12</v>
      </c>
      <c r="Q27" s="25" t="s">
        <v>12</v>
      </c>
      <c r="R27" s="344" t="s">
        <v>37</v>
      </c>
      <c r="S27" s="12"/>
      <c r="T27" s="25" t="s">
        <v>36</v>
      </c>
      <c r="U27" s="25" t="s">
        <v>40</v>
      </c>
      <c r="V27" s="25" t="s">
        <v>12</v>
      </c>
      <c r="W27" s="25" t="s">
        <v>14</v>
      </c>
      <c r="X27" s="25" t="s">
        <v>26</v>
      </c>
      <c r="Y27" s="25" t="s">
        <v>32</v>
      </c>
      <c r="Z27" s="25" t="s">
        <v>38</v>
      </c>
      <c r="AA27" s="25" t="s">
        <v>35</v>
      </c>
      <c r="AB27" s="12"/>
      <c r="AC27" s="25" t="s">
        <v>29</v>
      </c>
      <c r="AD27" s="25" t="s">
        <v>14</v>
      </c>
      <c r="AE27" s="25" t="s">
        <v>43</v>
      </c>
      <c r="AF27" s="25" t="s">
        <v>12</v>
      </c>
      <c r="AG27" s="344" t="s">
        <v>31</v>
      </c>
      <c r="AH27" s="25" t="s">
        <v>32</v>
      </c>
      <c r="AI27" s="12" t="s">
        <v>30</v>
      </c>
      <c r="AJ27" s="344" t="s">
        <v>41</v>
      </c>
      <c r="AK27" s="12"/>
      <c r="AL27" s="25" t="s">
        <v>39</v>
      </c>
      <c r="AM27" s="25" t="s">
        <v>14</v>
      </c>
      <c r="AN27" s="25" t="s">
        <v>33</v>
      </c>
      <c r="AO27" s="25" t="s">
        <v>32</v>
      </c>
      <c r="AP27" s="25" t="s">
        <v>78</v>
      </c>
      <c r="AQ27" s="25" t="s">
        <v>36</v>
      </c>
      <c r="AR27" s="25" t="s">
        <v>12</v>
      </c>
      <c r="AS27" s="25" t="s">
        <v>30</v>
      </c>
      <c r="AT27" s="358">
        <f t="shared" si="0"/>
        <v>6</v>
      </c>
      <c r="AU27" s="358">
        <f t="shared" si="1"/>
        <v>5</v>
      </c>
      <c r="AV27" s="358">
        <f t="shared" si="2"/>
        <v>5</v>
      </c>
      <c r="AW27" s="358">
        <f t="shared" si="3"/>
        <v>2</v>
      </c>
      <c r="AX27" s="358">
        <f t="shared" si="4"/>
        <v>2</v>
      </c>
      <c r="AY27" s="358">
        <f t="shared" si="5"/>
        <v>3</v>
      </c>
      <c r="AZ27" s="358">
        <f t="shared" si="6"/>
        <v>3</v>
      </c>
      <c r="BA27" s="358">
        <f t="shared" si="7"/>
        <v>3</v>
      </c>
      <c r="BB27" s="358">
        <f t="shared" si="8"/>
        <v>1</v>
      </c>
      <c r="BC27" s="358">
        <f t="shared" si="9"/>
        <v>1</v>
      </c>
      <c r="BD27" s="358">
        <f t="shared" si="10"/>
        <v>1</v>
      </c>
      <c r="BE27" s="358">
        <f t="shared" si="11"/>
        <v>1</v>
      </c>
      <c r="BF27" s="358">
        <f t="shared" si="12"/>
        <v>1</v>
      </c>
      <c r="BG27" s="358">
        <f t="shared" si="13"/>
        <v>1</v>
      </c>
      <c r="BH27" s="358">
        <f t="shared" si="14"/>
        <v>1</v>
      </c>
      <c r="BI27" s="358">
        <f t="shared" si="15"/>
        <v>0</v>
      </c>
    </row>
    <row r="28" s="7" customFormat="1" ht="47.1" customHeight="1" spans="1:61">
      <c r="A28" s="343" t="s">
        <v>79</v>
      </c>
      <c r="B28" s="25" t="s">
        <v>35</v>
      </c>
      <c r="C28" s="25" t="s">
        <v>14</v>
      </c>
      <c r="D28" s="25" t="s">
        <v>33</v>
      </c>
      <c r="E28" s="25" t="s">
        <v>36</v>
      </c>
      <c r="F28" s="25" t="s">
        <v>12</v>
      </c>
      <c r="G28" s="25" t="s">
        <v>29</v>
      </c>
      <c r="H28" s="25" t="s">
        <v>32</v>
      </c>
      <c r="I28" s="344" t="s">
        <v>34</v>
      </c>
      <c r="J28" s="12"/>
      <c r="K28" s="25" t="s">
        <v>31</v>
      </c>
      <c r="L28" s="25" t="s">
        <v>12</v>
      </c>
      <c r="M28" s="25" t="s">
        <v>12</v>
      </c>
      <c r="N28" s="25" t="s">
        <v>32</v>
      </c>
      <c r="O28" s="25" t="s">
        <v>78</v>
      </c>
      <c r="P28" s="25" t="s">
        <v>30</v>
      </c>
      <c r="Q28" s="25" t="s">
        <v>14</v>
      </c>
      <c r="R28" s="344" t="s">
        <v>37</v>
      </c>
      <c r="S28" s="12"/>
      <c r="T28" s="25" t="s">
        <v>14</v>
      </c>
      <c r="U28" s="25" t="s">
        <v>26</v>
      </c>
      <c r="V28" s="25" t="s">
        <v>39</v>
      </c>
      <c r="W28" s="25" t="s">
        <v>29</v>
      </c>
      <c r="X28" s="25" t="s">
        <v>12</v>
      </c>
      <c r="Y28" s="12" t="s">
        <v>33</v>
      </c>
      <c r="Z28" s="25" t="s">
        <v>35</v>
      </c>
      <c r="AA28" s="25" t="s">
        <v>32</v>
      </c>
      <c r="AB28" s="12"/>
      <c r="AC28" s="25" t="s">
        <v>12</v>
      </c>
      <c r="AD28" s="25" t="s">
        <v>30</v>
      </c>
      <c r="AE28" s="25" t="s">
        <v>36</v>
      </c>
      <c r="AF28" s="25" t="s">
        <v>14</v>
      </c>
      <c r="AG28" s="344" t="s">
        <v>43</v>
      </c>
      <c r="AH28" s="25" t="s">
        <v>33</v>
      </c>
      <c r="AI28" s="25" t="s">
        <v>32</v>
      </c>
      <c r="AJ28" s="344" t="s">
        <v>41</v>
      </c>
      <c r="AK28" s="346"/>
      <c r="AL28" s="25" t="s">
        <v>32</v>
      </c>
      <c r="AM28" s="25" t="s">
        <v>78</v>
      </c>
      <c r="AN28" s="25" t="s">
        <v>14</v>
      </c>
      <c r="AO28" s="25" t="s">
        <v>30</v>
      </c>
      <c r="AP28" s="25" t="s">
        <v>38</v>
      </c>
      <c r="AQ28" s="38" t="s">
        <v>12</v>
      </c>
      <c r="AR28" s="25" t="s">
        <v>29</v>
      </c>
      <c r="AS28" s="25" t="s">
        <v>40</v>
      </c>
      <c r="AT28" s="358">
        <f t="shared" si="0"/>
        <v>6</v>
      </c>
      <c r="AU28" s="358">
        <f t="shared" si="1"/>
        <v>5</v>
      </c>
      <c r="AV28" s="358">
        <f t="shared" si="2"/>
        <v>5</v>
      </c>
      <c r="AW28" s="358">
        <f t="shared" si="3"/>
        <v>2</v>
      </c>
      <c r="AX28" s="358">
        <f t="shared" si="4"/>
        <v>2</v>
      </c>
      <c r="AY28" s="358">
        <f t="shared" si="5"/>
        <v>3</v>
      </c>
      <c r="AZ28" s="358">
        <f t="shared" si="6"/>
        <v>3</v>
      </c>
      <c r="BA28" s="358">
        <f t="shared" si="7"/>
        <v>3</v>
      </c>
      <c r="BB28" s="358">
        <f t="shared" si="8"/>
        <v>1</v>
      </c>
      <c r="BC28" s="358">
        <f t="shared" si="9"/>
        <v>1</v>
      </c>
      <c r="BD28" s="358">
        <f t="shared" si="10"/>
        <v>1</v>
      </c>
      <c r="BE28" s="358">
        <f t="shared" si="11"/>
        <v>1</v>
      </c>
      <c r="BF28" s="358">
        <f t="shared" si="12"/>
        <v>1</v>
      </c>
      <c r="BG28" s="358">
        <f t="shared" si="13"/>
        <v>1</v>
      </c>
      <c r="BH28" s="358">
        <f t="shared" si="14"/>
        <v>1</v>
      </c>
      <c r="BI28" s="358">
        <f t="shared" si="15"/>
        <v>0</v>
      </c>
    </row>
    <row r="29" s="7" customFormat="1" ht="47.1" customHeight="1" spans="1:61">
      <c r="A29" s="343" t="s">
        <v>80</v>
      </c>
      <c r="B29" s="25" t="s">
        <v>33</v>
      </c>
      <c r="C29" s="25" t="s">
        <v>12</v>
      </c>
      <c r="D29" s="25" t="s">
        <v>38</v>
      </c>
      <c r="E29" s="25" t="s">
        <v>14</v>
      </c>
      <c r="F29" s="25" t="s">
        <v>36</v>
      </c>
      <c r="G29" s="25" t="s">
        <v>43</v>
      </c>
      <c r="H29" s="25" t="s">
        <v>32</v>
      </c>
      <c r="I29" s="344" t="s">
        <v>34</v>
      </c>
      <c r="J29" s="37"/>
      <c r="K29" s="25" t="s">
        <v>12</v>
      </c>
      <c r="L29" s="25" t="s">
        <v>12</v>
      </c>
      <c r="M29" s="25" t="s">
        <v>29</v>
      </c>
      <c r="N29" s="25" t="s">
        <v>32</v>
      </c>
      <c r="O29" s="25" t="s">
        <v>81</v>
      </c>
      <c r="P29" s="25" t="s">
        <v>14</v>
      </c>
      <c r="Q29" s="25" t="s">
        <v>35</v>
      </c>
      <c r="R29" s="344" t="s">
        <v>37</v>
      </c>
      <c r="S29" s="12"/>
      <c r="T29" s="25" t="s">
        <v>14</v>
      </c>
      <c r="U29" s="25" t="s">
        <v>26</v>
      </c>
      <c r="V29" s="25" t="s">
        <v>12</v>
      </c>
      <c r="W29" s="25" t="s">
        <v>39</v>
      </c>
      <c r="X29" s="25" t="s">
        <v>30</v>
      </c>
      <c r="Y29" s="25" t="s">
        <v>32</v>
      </c>
      <c r="Z29" s="25" t="s">
        <v>36</v>
      </c>
      <c r="AA29" s="25" t="s">
        <v>33</v>
      </c>
      <c r="AB29" s="37"/>
      <c r="AC29" s="25" t="s">
        <v>35</v>
      </c>
      <c r="AD29" s="25" t="s">
        <v>32</v>
      </c>
      <c r="AE29" s="360" t="s">
        <v>14</v>
      </c>
      <c r="AF29" s="25" t="s">
        <v>12</v>
      </c>
      <c r="AG29" s="360" t="s">
        <v>30</v>
      </c>
      <c r="AH29" s="25" t="s">
        <v>40</v>
      </c>
      <c r="AI29" s="12" t="s">
        <v>29</v>
      </c>
      <c r="AJ29" s="344" t="s">
        <v>41</v>
      </c>
      <c r="AK29" s="37"/>
      <c r="AL29" s="25" t="s">
        <v>33</v>
      </c>
      <c r="AM29" s="25" t="s">
        <v>31</v>
      </c>
      <c r="AN29" s="25" t="s">
        <v>14</v>
      </c>
      <c r="AO29" s="25" t="s">
        <v>32</v>
      </c>
      <c r="AP29" s="25" t="s">
        <v>81</v>
      </c>
      <c r="AQ29" s="25" t="s">
        <v>30</v>
      </c>
      <c r="AR29" s="25" t="s">
        <v>12</v>
      </c>
      <c r="AS29" s="25" t="s">
        <v>29</v>
      </c>
      <c r="AT29" s="358">
        <f t="shared" si="0"/>
        <v>6</v>
      </c>
      <c r="AU29" s="358">
        <f t="shared" si="1"/>
        <v>5</v>
      </c>
      <c r="AV29" s="358">
        <f t="shared" si="2"/>
        <v>5</v>
      </c>
      <c r="AW29" s="358">
        <f t="shared" si="3"/>
        <v>2</v>
      </c>
      <c r="AX29" s="358">
        <f t="shared" si="4"/>
        <v>2</v>
      </c>
      <c r="AY29" s="358">
        <f t="shared" si="5"/>
        <v>3</v>
      </c>
      <c r="AZ29" s="358">
        <f t="shared" si="6"/>
        <v>3</v>
      </c>
      <c r="BA29" s="358">
        <f t="shared" si="7"/>
        <v>3</v>
      </c>
      <c r="BB29" s="358">
        <f t="shared" si="8"/>
        <v>1</v>
      </c>
      <c r="BC29" s="358">
        <f t="shared" si="9"/>
        <v>1</v>
      </c>
      <c r="BD29" s="358">
        <f t="shared" si="10"/>
        <v>1</v>
      </c>
      <c r="BE29" s="358">
        <f t="shared" si="11"/>
        <v>1</v>
      </c>
      <c r="BF29" s="358">
        <f t="shared" si="12"/>
        <v>1</v>
      </c>
      <c r="BG29" s="358">
        <f t="shared" si="13"/>
        <v>1</v>
      </c>
      <c r="BH29" s="358">
        <f t="shared" si="14"/>
        <v>1</v>
      </c>
      <c r="BI29" s="358">
        <f t="shared" si="15"/>
        <v>0</v>
      </c>
    </row>
    <row r="30" s="7" customFormat="1" ht="47.1" customHeight="1" spans="1:61">
      <c r="A30" s="347" t="s">
        <v>82</v>
      </c>
      <c r="B30" s="38" t="s">
        <v>32</v>
      </c>
      <c r="C30" s="38" t="s">
        <v>39</v>
      </c>
      <c r="D30" s="38" t="s">
        <v>35</v>
      </c>
      <c r="E30" s="38" t="s">
        <v>30</v>
      </c>
      <c r="F30" s="38" t="s">
        <v>14</v>
      </c>
      <c r="G30" s="38" t="s">
        <v>12</v>
      </c>
      <c r="H30" s="38" t="s">
        <v>29</v>
      </c>
      <c r="I30" s="58" t="s">
        <v>34</v>
      </c>
      <c r="J30" s="42"/>
      <c r="K30" s="38" t="s">
        <v>32</v>
      </c>
      <c r="L30" s="38" t="s">
        <v>81</v>
      </c>
      <c r="M30" s="42" t="s">
        <v>14</v>
      </c>
      <c r="N30" s="38" t="s">
        <v>12</v>
      </c>
      <c r="O30" s="38" t="s">
        <v>12</v>
      </c>
      <c r="P30" s="38" t="s">
        <v>33</v>
      </c>
      <c r="Q30" s="38" t="s">
        <v>31</v>
      </c>
      <c r="R30" s="58" t="s">
        <v>37</v>
      </c>
      <c r="S30" s="42"/>
      <c r="T30" s="38" t="s">
        <v>29</v>
      </c>
      <c r="U30" s="38" t="s">
        <v>12</v>
      </c>
      <c r="V30" s="38" t="s">
        <v>36</v>
      </c>
      <c r="W30" s="38" t="s">
        <v>14</v>
      </c>
      <c r="X30" s="38" t="s">
        <v>26</v>
      </c>
      <c r="Y30" s="38" t="s">
        <v>38</v>
      </c>
      <c r="Z30" s="38" t="s">
        <v>30</v>
      </c>
      <c r="AA30" s="38" t="s">
        <v>32</v>
      </c>
      <c r="AB30" s="37"/>
      <c r="AC30" s="38" t="s">
        <v>12</v>
      </c>
      <c r="AD30" s="38" t="s">
        <v>33</v>
      </c>
      <c r="AE30" s="38" t="s">
        <v>32</v>
      </c>
      <c r="AF30" s="38" t="s">
        <v>14</v>
      </c>
      <c r="AG30" s="58" t="s">
        <v>35</v>
      </c>
      <c r="AH30" s="38" t="s">
        <v>40</v>
      </c>
      <c r="AI30" s="38" t="s">
        <v>43</v>
      </c>
      <c r="AJ30" s="58" t="s">
        <v>41</v>
      </c>
      <c r="AK30" s="42"/>
      <c r="AL30" s="38" t="s">
        <v>32</v>
      </c>
      <c r="AM30" s="38" t="s">
        <v>81</v>
      </c>
      <c r="AN30" s="38" t="s">
        <v>30</v>
      </c>
      <c r="AO30" s="38" t="s">
        <v>33</v>
      </c>
      <c r="AP30" s="38" t="s">
        <v>14</v>
      </c>
      <c r="AQ30" s="38" t="s">
        <v>12</v>
      </c>
      <c r="AR30" s="38" t="s">
        <v>29</v>
      </c>
      <c r="AS30" s="38" t="s">
        <v>36</v>
      </c>
      <c r="AT30" s="358">
        <f t="shared" si="0"/>
        <v>6</v>
      </c>
      <c r="AU30" s="358">
        <f t="shared" si="1"/>
        <v>5</v>
      </c>
      <c r="AV30" s="358">
        <f t="shared" si="2"/>
        <v>5</v>
      </c>
      <c r="AW30" s="358">
        <f t="shared" si="3"/>
        <v>2</v>
      </c>
      <c r="AX30" s="358">
        <f t="shared" si="4"/>
        <v>2</v>
      </c>
      <c r="AY30" s="358">
        <f t="shared" si="5"/>
        <v>3</v>
      </c>
      <c r="AZ30" s="358">
        <f t="shared" si="6"/>
        <v>3</v>
      </c>
      <c r="BA30" s="358">
        <f t="shared" si="7"/>
        <v>3</v>
      </c>
      <c r="BB30" s="358">
        <f t="shared" si="8"/>
        <v>1</v>
      </c>
      <c r="BC30" s="358">
        <f t="shared" si="9"/>
        <v>1</v>
      </c>
      <c r="BD30" s="358">
        <f t="shared" si="10"/>
        <v>1</v>
      </c>
      <c r="BE30" s="358">
        <f t="shared" si="11"/>
        <v>1</v>
      </c>
      <c r="BF30" s="358">
        <f t="shared" si="12"/>
        <v>1</v>
      </c>
      <c r="BG30" s="358">
        <f t="shared" si="13"/>
        <v>1</v>
      </c>
      <c r="BH30" s="358">
        <f t="shared" si="14"/>
        <v>1</v>
      </c>
      <c r="BI30" s="358">
        <f t="shared" si="15"/>
        <v>0</v>
      </c>
    </row>
    <row r="31" s="8" customFormat="1" ht="98.1" customHeight="1" spans="1:61">
      <c r="A31" s="349"/>
      <c r="B31" s="350"/>
      <c r="C31" s="350"/>
      <c r="D31" s="350"/>
      <c r="E31" s="351" t="s">
        <v>83</v>
      </c>
      <c r="F31" s="351"/>
      <c r="G31" s="352"/>
      <c r="H31" s="352"/>
      <c r="I31" s="352"/>
      <c r="J31" s="352"/>
      <c r="K31" s="351" t="s">
        <v>84</v>
      </c>
      <c r="L31" s="351"/>
      <c r="M31" s="351"/>
      <c r="N31" s="351"/>
      <c r="O31" s="351"/>
      <c r="P31" s="352"/>
      <c r="Q31" s="352"/>
      <c r="R31" s="352"/>
      <c r="S31" s="352"/>
      <c r="T31" s="351" t="s">
        <v>85</v>
      </c>
      <c r="U31" s="351"/>
      <c r="V31" s="351"/>
      <c r="W31" s="351"/>
      <c r="X31" s="351"/>
      <c r="Y31" s="351" t="s">
        <v>86</v>
      </c>
      <c r="Z31" s="351"/>
      <c r="AA31" s="351"/>
      <c r="AB31" s="351"/>
      <c r="AC31" s="351" t="s">
        <v>87</v>
      </c>
      <c r="AD31" s="351"/>
      <c r="AE31" s="351"/>
      <c r="AF31" s="351"/>
      <c r="AG31" s="351"/>
      <c r="AH31" s="351"/>
      <c r="AI31" s="351"/>
      <c r="AJ31" s="351"/>
      <c r="AK31" s="351"/>
      <c r="AL31" s="351" t="s">
        <v>88</v>
      </c>
      <c r="AM31" s="351"/>
      <c r="AN31" s="351"/>
      <c r="AO31" s="351" t="s">
        <v>89</v>
      </c>
      <c r="AP31" s="351"/>
      <c r="AQ31" s="353"/>
      <c r="AR31" s="353"/>
      <c r="AS31" s="354"/>
      <c r="AT31" s="359"/>
      <c r="AU31" s="359"/>
      <c r="AV31" s="359"/>
      <c r="AW31" s="359"/>
      <c r="AX31" s="359"/>
      <c r="AY31" s="359"/>
      <c r="AZ31" s="359"/>
      <c r="BA31" s="359"/>
      <c r="BB31" s="359"/>
      <c r="BC31" s="359"/>
      <c r="BD31" s="359"/>
      <c r="BE31" s="359"/>
      <c r="BF31" s="359"/>
      <c r="BG31" s="359"/>
      <c r="BH31" s="359"/>
      <c r="BI31" s="359"/>
    </row>
  </sheetData>
  <mergeCells count="23">
    <mergeCell ref="A1:AS1"/>
    <mergeCell ref="B2:J2"/>
    <mergeCell ref="K2:S2"/>
    <mergeCell ref="T2:AB2"/>
    <mergeCell ref="AC2:AK2"/>
    <mergeCell ref="AL2:AS2"/>
    <mergeCell ref="B3:F3"/>
    <mergeCell ref="G3:J3"/>
    <mergeCell ref="K3:O3"/>
    <mergeCell ref="P3:S3"/>
    <mergeCell ref="T3:X3"/>
    <mergeCell ref="Y3:AB3"/>
    <mergeCell ref="AC3:AG3"/>
    <mergeCell ref="AH3:AK3"/>
    <mergeCell ref="AL3:AP3"/>
    <mergeCell ref="AQ3:AS3"/>
    <mergeCell ref="E31:F31"/>
    <mergeCell ref="K31:O31"/>
    <mergeCell ref="T31:X31"/>
    <mergeCell ref="Y31:AA31"/>
    <mergeCell ref="AC31:AG31"/>
    <mergeCell ref="AL31:AN31"/>
    <mergeCell ref="AO31:AP31"/>
  </mergeCells>
  <pageMargins left="0.75" right="0.75" top="1" bottom="1" header="0.5" footer="0.5"/>
  <pageSetup paperSize="9" scale="4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31"/>
  <sheetViews>
    <sheetView zoomScale="70" zoomScaleNormal="70" workbookViewId="0">
      <pane ySplit="4" topLeftCell="A5" activePane="bottomLeft" state="frozen"/>
      <selection/>
      <selection pane="bottomLeft" activeCell="BK19" sqref="BK19"/>
    </sheetView>
  </sheetViews>
  <sheetFormatPr defaultColWidth="9" defaultRowHeight="12"/>
  <cols>
    <col min="1" max="1" width="11.875" style="10" customWidth="1"/>
    <col min="2" max="45" width="5" style="10" customWidth="1"/>
    <col min="46" max="56" width="9" style="355" customWidth="1"/>
    <col min="57" max="61" width="9" style="355"/>
    <col min="62" max="16384" width="9" style="10"/>
  </cols>
  <sheetData>
    <row r="1" ht="38.1" customHeight="1" spans="1:61">
      <c r="A1" s="158" t="s">
        <v>93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322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356"/>
      <c r="AU1" s="356"/>
      <c r="AV1" s="356"/>
      <c r="AW1" s="356"/>
      <c r="AX1" s="356"/>
      <c r="AY1" s="356"/>
      <c r="AZ1" s="356"/>
      <c r="BA1" s="356"/>
      <c r="BB1" s="356"/>
      <c r="BC1" s="356"/>
      <c r="BD1" s="356"/>
      <c r="BE1" s="356"/>
      <c r="BF1" s="356"/>
      <c r="BG1" s="356"/>
      <c r="BH1" s="356"/>
      <c r="BI1" s="356"/>
    </row>
    <row r="2" s="2" customFormat="1" ht="21.95" customHeight="1" spans="1:61">
      <c r="A2" s="323" t="s">
        <v>1</v>
      </c>
      <c r="B2" s="160" t="s">
        <v>2</v>
      </c>
      <c r="C2" s="161"/>
      <c r="D2" s="161"/>
      <c r="E2" s="161"/>
      <c r="F2" s="161"/>
      <c r="G2" s="161"/>
      <c r="H2" s="161"/>
      <c r="I2" s="161"/>
      <c r="J2" s="163"/>
      <c r="K2" s="160" t="s">
        <v>3</v>
      </c>
      <c r="L2" s="161"/>
      <c r="M2" s="161"/>
      <c r="N2" s="161"/>
      <c r="O2" s="161"/>
      <c r="P2" s="161"/>
      <c r="Q2" s="161"/>
      <c r="R2" s="324"/>
      <c r="S2" s="163"/>
      <c r="T2" s="160" t="s">
        <v>4</v>
      </c>
      <c r="U2" s="161"/>
      <c r="V2" s="161"/>
      <c r="W2" s="161"/>
      <c r="X2" s="161"/>
      <c r="Y2" s="161"/>
      <c r="Z2" s="161"/>
      <c r="AA2" s="161"/>
      <c r="AB2" s="163"/>
      <c r="AC2" s="164" t="s">
        <v>5</v>
      </c>
      <c r="AD2" s="165"/>
      <c r="AE2" s="165"/>
      <c r="AF2" s="165"/>
      <c r="AG2" s="165"/>
      <c r="AH2" s="165"/>
      <c r="AI2" s="165"/>
      <c r="AJ2" s="165"/>
      <c r="AK2" s="166"/>
      <c r="AL2" s="325" t="s">
        <v>6</v>
      </c>
      <c r="AM2" s="165"/>
      <c r="AN2" s="165"/>
      <c r="AO2" s="165"/>
      <c r="AP2" s="165"/>
      <c r="AQ2" s="165"/>
      <c r="AR2" s="165"/>
      <c r="AS2" s="166"/>
      <c r="AT2" s="357"/>
      <c r="AU2" s="357"/>
      <c r="AV2" s="357"/>
      <c r="AW2" s="357"/>
      <c r="AX2" s="357"/>
      <c r="AY2" s="357"/>
      <c r="AZ2" s="357"/>
      <c r="BA2" s="357"/>
      <c r="BB2" s="357"/>
      <c r="BC2" s="357"/>
      <c r="BD2" s="357"/>
      <c r="BE2" s="357"/>
      <c r="BF2" s="357"/>
      <c r="BG2" s="357"/>
      <c r="BH2" s="357"/>
      <c r="BI2" s="357"/>
    </row>
    <row r="3" s="2" customFormat="1" ht="21.95" customHeight="1" spans="1:61">
      <c r="A3" s="326" t="s">
        <v>7</v>
      </c>
      <c r="B3" s="327" t="s">
        <v>8</v>
      </c>
      <c r="C3" s="328"/>
      <c r="D3" s="328"/>
      <c r="E3" s="328"/>
      <c r="F3" s="328"/>
      <c r="G3" s="328" t="s">
        <v>9</v>
      </c>
      <c r="H3" s="328"/>
      <c r="I3" s="328"/>
      <c r="J3" s="329"/>
      <c r="K3" s="327" t="s">
        <v>8</v>
      </c>
      <c r="L3" s="328"/>
      <c r="M3" s="328"/>
      <c r="N3" s="328"/>
      <c r="O3" s="328"/>
      <c r="P3" s="328" t="s">
        <v>9</v>
      </c>
      <c r="Q3" s="328"/>
      <c r="R3" s="330"/>
      <c r="S3" s="329"/>
      <c r="T3" s="327" t="s">
        <v>8</v>
      </c>
      <c r="U3" s="328"/>
      <c r="V3" s="328"/>
      <c r="W3" s="328"/>
      <c r="X3" s="328"/>
      <c r="Y3" s="328" t="s">
        <v>9</v>
      </c>
      <c r="Z3" s="328"/>
      <c r="AA3" s="328"/>
      <c r="AB3" s="329"/>
      <c r="AC3" s="327" t="s">
        <v>8</v>
      </c>
      <c r="AD3" s="328"/>
      <c r="AE3" s="328"/>
      <c r="AF3" s="328"/>
      <c r="AG3" s="328"/>
      <c r="AH3" s="328" t="s">
        <v>9</v>
      </c>
      <c r="AI3" s="328"/>
      <c r="AJ3" s="328"/>
      <c r="AK3" s="329"/>
      <c r="AL3" s="331" t="s">
        <v>8</v>
      </c>
      <c r="AM3" s="328"/>
      <c r="AN3" s="328"/>
      <c r="AO3" s="328"/>
      <c r="AP3" s="328"/>
      <c r="AQ3" s="328" t="s">
        <v>9</v>
      </c>
      <c r="AR3" s="328"/>
      <c r="AS3" s="329"/>
      <c r="AT3" s="100">
        <v>6</v>
      </c>
      <c r="AU3" s="100">
        <v>5</v>
      </c>
      <c r="AV3" s="100">
        <v>5</v>
      </c>
      <c r="AW3" s="100">
        <v>2</v>
      </c>
      <c r="AX3" s="100">
        <v>2</v>
      </c>
      <c r="AY3" s="100">
        <v>3</v>
      </c>
      <c r="AZ3" s="100">
        <v>3</v>
      </c>
      <c r="BA3" s="100">
        <v>3</v>
      </c>
      <c r="BB3" s="100">
        <v>1</v>
      </c>
      <c r="BC3" s="100">
        <v>1</v>
      </c>
      <c r="BD3" s="100">
        <v>1</v>
      </c>
      <c r="BE3" s="100">
        <v>0.5</v>
      </c>
      <c r="BF3" s="100">
        <v>1</v>
      </c>
      <c r="BG3" s="100">
        <v>1</v>
      </c>
      <c r="BH3" s="100">
        <v>1</v>
      </c>
      <c r="BI3" s="100">
        <v>2</v>
      </c>
    </row>
    <row r="4" s="26" customFormat="1" ht="47.1" customHeight="1" spans="1:61">
      <c r="A4" s="332" t="s">
        <v>10</v>
      </c>
      <c r="B4" s="333">
        <v>1</v>
      </c>
      <c r="C4" s="334">
        <v>2</v>
      </c>
      <c r="D4" s="334">
        <v>3</v>
      </c>
      <c r="E4" s="334">
        <v>4</v>
      </c>
      <c r="F4" s="334">
        <v>5</v>
      </c>
      <c r="G4" s="334">
        <v>6</v>
      </c>
      <c r="H4" s="334">
        <v>7</v>
      </c>
      <c r="I4" s="334">
        <v>8</v>
      </c>
      <c r="J4" s="335" t="s">
        <v>11</v>
      </c>
      <c r="K4" s="333">
        <v>1</v>
      </c>
      <c r="L4" s="334">
        <v>2</v>
      </c>
      <c r="M4" s="334">
        <v>3</v>
      </c>
      <c r="N4" s="334">
        <v>4</v>
      </c>
      <c r="O4" s="334">
        <v>5</v>
      </c>
      <c r="P4" s="334">
        <v>6</v>
      </c>
      <c r="Q4" s="334">
        <v>7</v>
      </c>
      <c r="R4" s="336">
        <v>8</v>
      </c>
      <c r="S4" s="335" t="s">
        <v>11</v>
      </c>
      <c r="T4" s="333">
        <v>1</v>
      </c>
      <c r="U4" s="334">
        <v>2</v>
      </c>
      <c r="V4" s="334">
        <v>3</v>
      </c>
      <c r="W4" s="334">
        <v>4</v>
      </c>
      <c r="X4" s="334">
        <v>5</v>
      </c>
      <c r="Y4" s="334">
        <v>6</v>
      </c>
      <c r="Z4" s="334">
        <v>7</v>
      </c>
      <c r="AA4" s="334">
        <v>8</v>
      </c>
      <c r="AB4" s="335" t="s">
        <v>11</v>
      </c>
      <c r="AC4" s="333">
        <v>1</v>
      </c>
      <c r="AD4" s="334">
        <v>2</v>
      </c>
      <c r="AE4" s="334">
        <v>3</v>
      </c>
      <c r="AF4" s="334">
        <v>4</v>
      </c>
      <c r="AG4" s="334">
        <v>5</v>
      </c>
      <c r="AH4" s="334">
        <v>6</v>
      </c>
      <c r="AI4" s="334">
        <v>7</v>
      </c>
      <c r="AJ4" s="334">
        <v>8</v>
      </c>
      <c r="AK4" s="335" t="s">
        <v>11</v>
      </c>
      <c r="AL4" s="337">
        <v>1</v>
      </c>
      <c r="AM4" s="334">
        <v>2</v>
      </c>
      <c r="AN4" s="334">
        <v>3</v>
      </c>
      <c r="AO4" s="334">
        <v>4</v>
      </c>
      <c r="AP4" s="334">
        <v>5</v>
      </c>
      <c r="AQ4" s="334">
        <v>6</v>
      </c>
      <c r="AR4" s="334">
        <v>7</v>
      </c>
      <c r="AS4" s="338">
        <v>8</v>
      </c>
      <c r="AT4" s="122" t="s">
        <v>12</v>
      </c>
      <c r="AU4" s="122" t="s">
        <v>13</v>
      </c>
      <c r="AV4" s="122" t="s">
        <v>14</v>
      </c>
      <c r="AW4" s="122" t="s">
        <v>15</v>
      </c>
      <c r="AX4" s="122" t="s">
        <v>16</v>
      </c>
      <c r="AY4" s="122" t="s">
        <v>17</v>
      </c>
      <c r="AZ4" s="122" t="s">
        <v>18</v>
      </c>
      <c r="BA4" s="122" t="s">
        <v>19</v>
      </c>
      <c r="BB4" s="122" t="s">
        <v>20</v>
      </c>
      <c r="BC4" s="122" t="s">
        <v>21</v>
      </c>
      <c r="BD4" s="122" t="s">
        <v>22</v>
      </c>
      <c r="BE4" s="122" t="s">
        <v>23</v>
      </c>
      <c r="BF4" s="122" t="s">
        <v>24</v>
      </c>
      <c r="BG4" s="122" t="s">
        <v>25</v>
      </c>
      <c r="BH4" s="122" t="s">
        <v>26</v>
      </c>
      <c r="BI4" s="122" t="s">
        <v>27</v>
      </c>
    </row>
    <row r="5" s="26" customFormat="1" ht="47.1" customHeight="1" spans="1:61">
      <c r="A5" s="339" t="s">
        <v>28</v>
      </c>
      <c r="B5" s="24" t="s">
        <v>12</v>
      </c>
      <c r="C5" s="24" t="s">
        <v>39</v>
      </c>
      <c r="D5" s="24" t="s">
        <v>29</v>
      </c>
      <c r="E5" s="24" t="s">
        <v>14</v>
      </c>
      <c r="F5" s="24" t="s">
        <v>31</v>
      </c>
      <c r="G5" s="24" t="s">
        <v>32</v>
      </c>
      <c r="H5" s="24" t="s">
        <v>33</v>
      </c>
      <c r="I5" s="340" t="s">
        <v>34</v>
      </c>
      <c r="J5" s="341"/>
      <c r="K5" s="24" t="s">
        <v>35</v>
      </c>
      <c r="L5" s="24" t="s">
        <v>14</v>
      </c>
      <c r="M5" s="24" t="s">
        <v>12</v>
      </c>
      <c r="N5" s="24" t="s">
        <v>12</v>
      </c>
      <c r="O5" s="340" t="s">
        <v>36</v>
      </c>
      <c r="P5" s="24" t="s">
        <v>32</v>
      </c>
      <c r="Q5" s="24" t="s">
        <v>38</v>
      </c>
      <c r="R5" s="340" t="s">
        <v>37</v>
      </c>
      <c r="S5" s="37"/>
      <c r="T5" s="24" t="s">
        <v>29</v>
      </c>
      <c r="U5" s="24" t="s">
        <v>33</v>
      </c>
      <c r="V5" s="24" t="s">
        <v>12</v>
      </c>
      <c r="W5" s="24" t="s">
        <v>14</v>
      </c>
      <c r="X5" s="24" t="s">
        <v>26</v>
      </c>
      <c r="Y5" s="24" t="s">
        <v>32</v>
      </c>
      <c r="Z5" s="24" t="s">
        <v>42</v>
      </c>
      <c r="AA5" s="24" t="s">
        <v>30</v>
      </c>
      <c r="AB5" s="37"/>
      <c r="AC5" s="24" t="s">
        <v>35</v>
      </c>
      <c r="AD5" s="24" t="s">
        <v>30</v>
      </c>
      <c r="AE5" s="24" t="s">
        <v>12</v>
      </c>
      <c r="AF5" s="24" t="s">
        <v>14</v>
      </c>
      <c r="AG5" s="24" t="s">
        <v>43</v>
      </c>
      <c r="AH5" s="24" t="s">
        <v>36</v>
      </c>
      <c r="AI5" s="24" t="s">
        <v>32</v>
      </c>
      <c r="AJ5" s="340" t="s">
        <v>41</v>
      </c>
      <c r="AK5" s="37"/>
      <c r="AL5" s="24" t="s">
        <v>42</v>
      </c>
      <c r="AM5" s="24" t="s">
        <v>32</v>
      </c>
      <c r="AN5" s="340" t="s">
        <v>40</v>
      </c>
      <c r="AO5" s="24" t="s">
        <v>14</v>
      </c>
      <c r="AP5" s="24" t="s">
        <v>29</v>
      </c>
      <c r="AQ5" s="24" t="s">
        <v>12</v>
      </c>
      <c r="AR5" s="24" t="s">
        <v>30</v>
      </c>
      <c r="AS5" s="24" t="s">
        <v>33</v>
      </c>
      <c r="AT5" s="358">
        <f>COUNTIF(B5:AS5,"语")</f>
        <v>6</v>
      </c>
      <c r="AU5" s="358">
        <f>COUNTIF(B5:AS5,"数")</f>
        <v>5</v>
      </c>
      <c r="AV5" s="358">
        <f>COUNTIF(B5:AS5,"英")</f>
        <v>5</v>
      </c>
      <c r="AW5" s="358">
        <f>COUNTIF(B5:AS5,"政")</f>
        <v>2</v>
      </c>
      <c r="AX5" s="358">
        <f>COUNTIF(B5:AS5,"历")</f>
        <v>2</v>
      </c>
      <c r="AY5" s="358">
        <f>COUNTIF(B5:AS5,"地")</f>
        <v>3</v>
      </c>
      <c r="AZ5" s="358">
        <f>COUNTIF(B5:AS5,"生")</f>
        <v>3</v>
      </c>
      <c r="BA5" s="358">
        <f>COUNTIF(B5:AS5,"体")</f>
        <v>3</v>
      </c>
      <c r="BB5" s="358">
        <f>COUNTIF(B5:AS5,"音")</f>
        <v>1</v>
      </c>
      <c r="BC5" s="358">
        <f>COUNTIF(B5:AS5,"美")</f>
        <v>1</v>
      </c>
      <c r="BD5" s="358">
        <f>COUNTIF(B5:AS5,"信")</f>
        <v>1</v>
      </c>
      <c r="BE5" s="358">
        <f>COUNTIF(B5:AS5,"心综")</f>
        <v>1</v>
      </c>
      <c r="BF5" s="358">
        <f>COUNTIF(B5:AS5,"班")</f>
        <v>1</v>
      </c>
      <c r="BG5" s="358">
        <f>COUNTIF(B5:AS5,"劳")</f>
        <v>1</v>
      </c>
      <c r="BH5" s="358">
        <f>COUNTIF(B5:AS5,"听说")</f>
        <v>1</v>
      </c>
      <c r="BI5" s="358">
        <f>COUNTIF(B5:AS5,"综实")</f>
        <v>0</v>
      </c>
    </row>
    <row r="6" s="26" customFormat="1" ht="47.1" customHeight="1" spans="1:61">
      <c r="A6" s="343" t="s">
        <v>44</v>
      </c>
      <c r="B6" s="25" t="s">
        <v>14</v>
      </c>
      <c r="C6" s="25" t="s">
        <v>12</v>
      </c>
      <c r="D6" s="25" t="s">
        <v>30</v>
      </c>
      <c r="E6" s="25" t="s">
        <v>32</v>
      </c>
      <c r="F6" s="25" t="s">
        <v>45</v>
      </c>
      <c r="G6" s="25" t="s">
        <v>33</v>
      </c>
      <c r="H6" s="12" t="s">
        <v>43</v>
      </c>
      <c r="I6" s="344" t="s">
        <v>34</v>
      </c>
      <c r="J6" s="37"/>
      <c r="K6" s="25" t="s">
        <v>32</v>
      </c>
      <c r="L6" s="25" t="s">
        <v>35</v>
      </c>
      <c r="M6" s="24" t="s">
        <v>31</v>
      </c>
      <c r="N6" s="25" t="s">
        <v>14</v>
      </c>
      <c r="O6" s="25" t="s">
        <v>26</v>
      </c>
      <c r="P6" s="25" t="s">
        <v>12</v>
      </c>
      <c r="Q6" s="25" t="s">
        <v>12</v>
      </c>
      <c r="R6" s="344" t="s">
        <v>37</v>
      </c>
      <c r="S6" s="37"/>
      <c r="T6" s="25" t="s">
        <v>14</v>
      </c>
      <c r="U6" s="25" t="s">
        <v>36</v>
      </c>
      <c r="V6" s="25" t="s">
        <v>33</v>
      </c>
      <c r="W6" s="25" t="s">
        <v>29</v>
      </c>
      <c r="X6" s="25" t="s">
        <v>12</v>
      </c>
      <c r="Y6" s="25" t="s">
        <v>30</v>
      </c>
      <c r="Z6" s="25" t="s">
        <v>32</v>
      </c>
      <c r="AA6" s="25" t="s">
        <v>45</v>
      </c>
      <c r="AB6" s="37"/>
      <c r="AC6" s="25" t="s">
        <v>12</v>
      </c>
      <c r="AD6" s="25" t="s">
        <v>35</v>
      </c>
      <c r="AE6" s="25" t="s">
        <v>14</v>
      </c>
      <c r="AF6" s="25" t="s">
        <v>32</v>
      </c>
      <c r="AG6" s="25" t="s">
        <v>30</v>
      </c>
      <c r="AH6" s="25" t="s">
        <v>29</v>
      </c>
      <c r="AI6" s="25" t="s">
        <v>39</v>
      </c>
      <c r="AJ6" s="344" t="s">
        <v>41</v>
      </c>
      <c r="AK6" s="37"/>
      <c r="AL6" s="25" t="s">
        <v>29</v>
      </c>
      <c r="AM6" s="25" t="s">
        <v>40</v>
      </c>
      <c r="AN6" s="24" t="s">
        <v>32</v>
      </c>
      <c r="AO6" s="25" t="s">
        <v>38</v>
      </c>
      <c r="AP6" s="25" t="s">
        <v>14</v>
      </c>
      <c r="AQ6" s="25" t="s">
        <v>36</v>
      </c>
      <c r="AR6" s="25" t="s">
        <v>33</v>
      </c>
      <c r="AS6" s="25" t="s">
        <v>12</v>
      </c>
      <c r="AT6" s="358">
        <f t="shared" ref="AT6:AT30" si="0">COUNTIF(B6:AS6,"语")</f>
        <v>6</v>
      </c>
      <c r="AU6" s="358">
        <f t="shared" ref="AU6:AU30" si="1">COUNTIF(B6:AS6,"数")</f>
        <v>5</v>
      </c>
      <c r="AV6" s="358">
        <f t="shared" ref="AV6:AV30" si="2">COUNTIF(B6:AS6,"英")</f>
        <v>5</v>
      </c>
      <c r="AW6" s="358">
        <f t="shared" ref="AW6:AW30" si="3">COUNTIF(B6:AS6,"政")</f>
        <v>2</v>
      </c>
      <c r="AX6" s="358">
        <f t="shared" ref="AX6:AX30" si="4">COUNTIF(B6:AS6,"历")</f>
        <v>2</v>
      </c>
      <c r="AY6" s="358">
        <f t="shared" ref="AY6:AY30" si="5">COUNTIF(B6:AS6,"地")</f>
        <v>3</v>
      </c>
      <c r="AZ6" s="358">
        <f t="shared" ref="AZ6:AZ30" si="6">COUNTIF(B6:AS6,"生")</f>
        <v>3</v>
      </c>
      <c r="BA6" s="358">
        <f t="shared" ref="BA6:BA30" si="7">COUNTIF(B6:AS6,"体")</f>
        <v>3</v>
      </c>
      <c r="BB6" s="358">
        <f t="shared" ref="BB6:BB30" si="8">COUNTIF(B6:AS6,"音")</f>
        <v>1</v>
      </c>
      <c r="BC6" s="358">
        <f t="shared" ref="BC6:BC30" si="9">COUNTIF(B6:AS6,"美")</f>
        <v>1</v>
      </c>
      <c r="BD6" s="358">
        <f t="shared" ref="BD6:BD30" si="10">COUNTIF(B6:AS6,"信")</f>
        <v>1</v>
      </c>
      <c r="BE6" s="358">
        <f t="shared" ref="BE6:BE30" si="11">COUNTIF(B6:AS6,"心综")</f>
        <v>1</v>
      </c>
      <c r="BF6" s="358">
        <f t="shared" ref="BF6:BF30" si="12">COUNTIF(B6:AS6,"班")</f>
        <v>1</v>
      </c>
      <c r="BG6" s="358">
        <f t="shared" ref="BG6:BG30" si="13">COUNTIF(B6:AS6,"劳")</f>
        <v>1</v>
      </c>
      <c r="BH6" s="358">
        <f t="shared" ref="BH6:BH30" si="14">COUNTIF(B6:AS6,"听说")</f>
        <v>1</v>
      </c>
      <c r="BI6" s="358">
        <f t="shared" ref="BI6:BI30" si="15">COUNTIF(B6:AS6,"综实")</f>
        <v>0</v>
      </c>
    </row>
    <row r="7" s="26" customFormat="1" ht="47.1" customHeight="1" spans="1:61">
      <c r="A7" s="343" t="s">
        <v>46</v>
      </c>
      <c r="B7" s="25" t="s">
        <v>33</v>
      </c>
      <c r="C7" s="25" t="s">
        <v>36</v>
      </c>
      <c r="D7" s="25" t="s">
        <v>35</v>
      </c>
      <c r="E7" s="25" t="s">
        <v>32</v>
      </c>
      <c r="F7" s="25" t="s">
        <v>38</v>
      </c>
      <c r="G7" s="25" t="s">
        <v>14</v>
      </c>
      <c r="H7" s="25" t="s">
        <v>12</v>
      </c>
      <c r="I7" s="344" t="s">
        <v>34</v>
      </c>
      <c r="J7" s="12"/>
      <c r="K7" s="25" t="s">
        <v>29</v>
      </c>
      <c r="L7" s="25" t="s">
        <v>14</v>
      </c>
      <c r="M7" s="25" t="s">
        <v>33</v>
      </c>
      <c r="N7" s="25" t="s">
        <v>47</v>
      </c>
      <c r="O7" s="344" t="s">
        <v>32</v>
      </c>
      <c r="P7" s="25" t="s">
        <v>12</v>
      </c>
      <c r="Q7" s="25" t="s">
        <v>12</v>
      </c>
      <c r="R7" s="344" t="s">
        <v>37</v>
      </c>
      <c r="S7" s="12"/>
      <c r="T7" s="12" t="s">
        <v>39</v>
      </c>
      <c r="U7" s="25" t="s">
        <v>29</v>
      </c>
      <c r="V7" s="25" t="s">
        <v>14</v>
      </c>
      <c r="W7" s="25" t="s">
        <v>30</v>
      </c>
      <c r="X7" s="25" t="s">
        <v>12</v>
      </c>
      <c r="Y7" s="25" t="s">
        <v>36</v>
      </c>
      <c r="Z7" s="25" t="s">
        <v>32</v>
      </c>
      <c r="AA7" s="25" t="s">
        <v>35</v>
      </c>
      <c r="AB7" s="37"/>
      <c r="AC7" s="25" t="s">
        <v>33</v>
      </c>
      <c r="AD7" s="25" t="s">
        <v>12</v>
      </c>
      <c r="AE7" s="25" t="s">
        <v>30</v>
      </c>
      <c r="AF7" s="25" t="s">
        <v>32</v>
      </c>
      <c r="AG7" s="25" t="s">
        <v>47</v>
      </c>
      <c r="AH7" s="25" t="s">
        <v>14</v>
      </c>
      <c r="AI7" s="25" t="s">
        <v>26</v>
      </c>
      <c r="AJ7" s="344" t="s">
        <v>41</v>
      </c>
      <c r="AK7" s="12"/>
      <c r="AL7" s="25" t="s">
        <v>43</v>
      </c>
      <c r="AM7" s="25" t="s">
        <v>31</v>
      </c>
      <c r="AN7" s="25" t="s">
        <v>32</v>
      </c>
      <c r="AO7" s="25" t="s">
        <v>14</v>
      </c>
      <c r="AP7" s="25" t="s">
        <v>30</v>
      </c>
      <c r="AQ7" s="25" t="s">
        <v>40</v>
      </c>
      <c r="AR7" s="25" t="s">
        <v>29</v>
      </c>
      <c r="AS7" s="25" t="s">
        <v>12</v>
      </c>
      <c r="AT7" s="358">
        <f t="shared" si="0"/>
        <v>6</v>
      </c>
      <c r="AU7" s="358">
        <f t="shared" si="1"/>
        <v>5</v>
      </c>
      <c r="AV7" s="358">
        <f t="shared" si="2"/>
        <v>5</v>
      </c>
      <c r="AW7" s="358">
        <f t="shared" si="3"/>
        <v>2</v>
      </c>
      <c r="AX7" s="358">
        <f t="shared" si="4"/>
        <v>2</v>
      </c>
      <c r="AY7" s="358">
        <f t="shared" si="5"/>
        <v>3</v>
      </c>
      <c r="AZ7" s="358">
        <f t="shared" si="6"/>
        <v>3</v>
      </c>
      <c r="BA7" s="358">
        <f t="shared" si="7"/>
        <v>3</v>
      </c>
      <c r="BB7" s="358">
        <f t="shared" si="8"/>
        <v>1</v>
      </c>
      <c r="BC7" s="358">
        <f t="shared" si="9"/>
        <v>1</v>
      </c>
      <c r="BD7" s="358">
        <f t="shared" si="10"/>
        <v>1</v>
      </c>
      <c r="BE7" s="358">
        <f t="shared" si="11"/>
        <v>1</v>
      </c>
      <c r="BF7" s="358">
        <f t="shared" si="12"/>
        <v>1</v>
      </c>
      <c r="BG7" s="358">
        <f t="shared" si="13"/>
        <v>1</v>
      </c>
      <c r="BH7" s="358">
        <f t="shared" si="14"/>
        <v>1</v>
      </c>
      <c r="BI7" s="358">
        <f t="shared" si="15"/>
        <v>0</v>
      </c>
    </row>
    <row r="8" s="26" customFormat="1" ht="47.1" customHeight="1" spans="1:61">
      <c r="A8" s="343" t="s">
        <v>48</v>
      </c>
      <c r="B8" s="25" t="s">
        <v>32</v>
      </c>
      <c r="C8" s="25" t="s">
        <v>31</v>
      </c>
      <c r="D8" s="25" t="s">
        <v>12</v>
      </c>
      <c r="E8" s="25" t="s">
        <v>29</v>
      </c>
      <c r="F8" s="25" t="s">
        <v>33</v>
      </c>
      <c r="G8" s="25" t="s">
        <v>30</v>
      </c>
      <c r="H8" s="25" t="s">
        <v>14</v>
      </c>
      <c r="I8" s="344" t="s">
        <v>34</v>
      </c>
      <c r="J8" s="12"/>
      <c r="K8" s="25" t="s">
        <v>12</v>
      </c>
      <c r="L8" s="25" t="s">
        <v>12</v>
      </c>
      <c r="M8" s="25" t="s">
        <v>29</v>
      </c>
      <c r="N8" s="25" t="s">
        <v>14</v>
      </c>
      <c r="O8" s="344" t="s">
        <v>35</v>
      </c>
      <c r="P8" s="25" t="s">
        <v>32</v>
      </c>
      <c r="Q8" s="25" t="s">
        <v>47</v>
      </c>
      <c r="R8" s="344" t="s">
        <v>37</v>
      </c>
      <c r="S8" s="12"/>
      <c r="T8" s="25" t="s">
        <v>14</v>
      </c>
      <c r="U8" s="25" t="s">
        <v>30</v>
      </c>
      <c r="V8" s="25" t="s">
        <v>12</v>
      </c>
      <c r="W8" s="25" t="s">
        <v>43</v>
      </c>
      <c r="X8" s="25" t="s">
        <v>39</v>
      </c>
      <c r="Y8" s="25" t="s">
        <v>33</v>
      </c>
      <c r="Z8" s="12" t="s">
        <v>36</v>
      </c>
      <c r="AA8" s="25" t="s">
        <v>32</v>
      </c>
      <c r="AB8" s="37"/>
      <c r="AC8" s="25" t="s">
        <v>32</v>
      </c>
      <c r="AD8" s="25" t="s">
        <v>47</v>
      </c>
      <c r="AE8" s="25" t="s">
        <v>14</v>
      </c>
      <c r="AF8" s="25" t="s">
        <v>26</v>
      </c>
      <c r="AG8" s="25" t="s">
        <v>40</v>
      </c>
      <c r="AH8" s="25" t="s">
        <v>12</v>
      </c>
      <c r="AI8" s="25" t="s">
        <v>30</v>
      </c>
      <c r="AJ8" s="344" t="s">
        <v>41</v>
      </c>
      <c r="AK8" s="37"/>
      <c r="AL8" s="25" t="s">
        <v>32</v>
      </c>
      <c r="AM8" s="25" t="s">
        <v>35</v>
      </c>
      <c r="AN8" s="25" t="s">
        <v>14</v>
      </c>
      <c r="AO8" s="25" t="s">
        <v>33</v>
      </c>
      <c r="AP8" s="25" t="s">
        <v>38</v>
      </c>
      <c r="AQ8" s="25" t="s">
        <v>12</v>
      </c>
      <c r="AR8" s="25" t="s">
        <v>36</v>
      </c>
      <c r="AS8" s="25" t="s">
        <v>29</v>
      </c>
      <c r="AT8" s="358">
        <f t="shared" si="0"/>
        <v>6</v>
      </c>
      <c r="AU8" s="358">
        <f t="shared" si="1"/>
        <v>5</v>
      </c>
      <c r="AV8" s="358">
        <f t="shared" si="2"/>
        <v>5</v>
      </c>
      <c r="AW8" s="358">
        <f t="shared" si="3"/>
        <v>2</v>
      </c>
      <c r="AX8" s="358">
        <f t="shared" si="4"/>
        <v>2</v>
      </c>
      <c r="AY8" s="358">
        <f t="shared" si="5"/>
        <v>3</v>
      </c>
      <c r="AZ8" s="358">
        <f t="shared" si="6"/>
        <v>3</v>
      </c>
      <c r="BA8" s="358">
        <f t="shared" si="7"/>
        <v>3</v>
      </c>
      <c r="BB8" s="358">
        <f t="shared" si="8"/>
        <v>1</v>
      </c>
      <c r="BC8" s="358">
        <f t="shared" si="9"/>
        <v>1</v>
      </c>
      <c r="BD8" s="358">
        <f t="shared" si="10"/>
        <v>1</v>
      </c>
      <c r="BE8" s="358">
        <f t="shared" si="11"/>
        <v>1</v>
      </c>
      <c r="BF8" s="358">
        <f t="shared" si="12"/>
        <v>1</v>
      </c>
      <c r="BG8" s="358">
        <f t="shared" si="13"/>
        <v>1</v>
      </c>
      <c r="BH8" s="358">
        <f t="shared" si="14"/>
        <v>1</v>
      </c>
      <c r="BI8" s="358">
        <f t="shared" si="15"/>
        <v>0</v>
      </c>
    </row>
    <row r="9" s="26" customFormat="1" ht="47.1" customHeight="1" spans="1:61">
      <c r="A9" s="343" t="s">
        <v>49</v>
      </c>
      <c r="B9" s="25" t="s">
        <v>35</v>
      </c>
      <c r="C9" s="25" t="s">
        <v>12</v>
      </c>
      <c r="D9" s="25" t="s">
        <v>14</v>
      </c>
      <c r="E9" s="25" t="s">
        <v>33</v>
      </c>
      <c r="F9" s="25" t="s">
        <v>29</v>
      </c>
      <c r="G9" s="25" t="s">
        <v>32</v>
      </c>
      <c r="H9" s="25" t="s">
        <v>30</v>
      </c>
      <c r="I9" s="344" t="s">
        <v>34</v>
      </c>
      <c r="J9" s="12"/>
      <c r="K9" s="25" t="s">
        <v>29</v>
      </c>
      <c r="L9" s="25" t="s">
        <v>12</v>
      </c>
      <c r="M9" s="25" t="s">
        <v>32</v>
      </c>
      <c r="N9" s="25" t="s">
        <v>50</v>
      </c>
      <c r="O9" s="344" t="s">
        <v>39</v>
      </c>
      <c r="P9" s="25" t="s">
        <v>14</v>
      </c>
      <c r="Q9" s="25" t="s">
        <v>26</v>
      </c>
      <c r="R9" s="344" t="s">
        <v>37</v>
      </c>
      <c r="S9" s="12"/>
      <c r="T9" s="25" t="s">
        <v>36</v>
      </c>
      <c r="U9" s="25" t="s">
        <v>14</v>
      </c>
      <c r="V9" s="25" t="s">
        <v>38</v>
      </c>
      <c r="W9" s="25" t="s">
        <v>12</v>
      </c>
      <c r="X9" s="25" t="s">
        <v>12</v>
      </c>
      <c r="Y9" s="25" t="s">
        <v>32</v>
      </c>
      <c r="Z9" s="25" t="s">
        <v>35</v>
      </c>
      <c r="AA9" s="25" t="s">
        <v>30</v>
      </c>
      <c r="AB9" s="12"/>
      <c r="AC9" s="25" t="s">
        <v>43</v>
      </c>
      <c r="AD9" s="12" t="s">
        <v>30</v>
      </c>
      <c r="AE9" s="25" t="s">
        <v>12</v>
      </c>
      <c r="AF9" s="25" t="s">
        <v>14</v>
      </c>
      <c r="AG9" s="25" t="s">
        <v>33</v>
      </c>
      <c r="AH9" s="25" t="s">
        <v>32</v>
      </c>
      <c r="AI9" s="25" t="s">
        <v>40</v>
      </c>
      <c r="AJ9" s="344" t="s">
        <v>41</v>
      </c>
      <c r="AK9" s="37"/>
      <c r="AL9" s="25" t="s">
        <v>32</v>
      </c>
      <c r="AM9" s="25" t="s">
        <v>50</v>
      </c>
      <c r="AN9" s="25" t="s">
        <v>31</v>
      </c>
      <c r="AO9" s="25" t="s">
        <v>14</v>
      </c>
      <c r="AP9" s="25" t="s">
        <v>29</v>
      </c>
      <c r="AQ9" s="25" t="s">
        <v>33</v>
      </c>
      <c r="AR9" s="25" t="s">
        <v>12</v>
      </c>
      <c r="AS9" s="25" t="s">
        <v>36</v>
      </c>
      <c r="AT9" s="358">
        <f t="shared" si="0"/>
        <v>6</v>
      </c>
      <c r="AU9" s="358">
        <f t="shared" si="1"/>
        <v>5</v>
      </c>
      <c r="AV9" s="358">
        <f t="shared" si="2"/>
        <v>5</v>
      </c>
      <c r="AW9" s="358">
        <f t="shared" si="3"/>
        <v>2</v>
      </c>
      <c r="AX9" s="358">
        <f t="shared" si="4"/>
        <v>2</v>
      </c>
      <c r="AY9" s="358">
        <f t="shared" si="5"/>
        <v>3</v>
      </c>
      <c r="AZ9" s="358">
        <f t="shared" si="6"/>
        <v>3</v>
      </c>
      <c r="BA9" s="358">
        <f t="shared" si="7"/>
        <v>3</v>
      </c>
      <c r="BB9" s="358">
        <f t="shared" si="8"/>
        <v>1</v>
      </c>
      <c r="BC9" s="358">
        <f t="shared" si="9"/>
        <v>1</v>
      </c>
      <c r="BD9" s="358">
        <f t="shared" si="10"/>
        <v>1</v>
      </c>
      <c r="BE9" s="358">
        <f t="shared" si="11"/>
        <v>1</v>
      </c>
      <c r="BF9" s="358">
        <f t="shared" si="12"/>
        <v>1</v>
      </c>
      <c r="BG9" s="358">
        <f t="shared" si="13"/>
        <v>1</v>
      </c>
      <c r="BH9" s="358">
        <f t="shared" si="14"/>
        <v>1</v>
      </c>
      <c r="BI9" s="358">
        <f t="shared" si="15"/>
        <v>0</v>
      </c>
    </row>
    <row r="10" s="26" customFormat="1" ht="47.1" customHeight="1" spans="1:61">
      <c r="A10" s="343" t="s">
        <v>51</v>
      </c>
      <c r="B10" s="25" t="s">
        <v>31</v>
      </c>
      <c r="C10" s="25" t="s">
        <v>29</v>
      </c>
      <c r="D10" s="25" t="s">
        <v>12</v>
      </c>
      <c r="E10" s="25" t="s">
        <v>32</v>
      </c>
      <c r="F10" s="25" t="s">
        <v>35</v>
      </c>
      <c r="G10" s="25" t="s">
        <v>14</v>
      </c>
      <c r="H10" s="25" t="s">
        <v>36</v>
      </c>
      <c r="I10" s="344" t="s">
        <v>34</v>
      </c>
      <c r="J10" s="12"/>
      <c r="K10" s="25" t="s">
        <v>14</v>
      </c>
      <c r="L10" s="25" t="s">
        <v>26</v>
      </c>
      <c r="M10" s="25" t="s">
        <v>29</v>
      </c>
      <c r="N10" s="25" t="s">
        <v>12</v>
      </c>
      <c r="O10" s="344" t="s">
        <v>33</v>
      </c>
      <c r="P10" s="25" t="s">
        <v>32</v>
      </c>
      <c r="Q10" s="25" t="s">
        <v>50</v>
      </c>
      <c r="R10" s="344" t="s">
        <v>37</v>
      </c>
      <c r="S10" s="12"/>
      <c r="T10" s="25" t="s">
        <v>12</v>
      </c>
      <c r="U10" s="25" t="s">
        <v>12</v>
      </c>
      <c r="V10" s="25" t="s">
        <v>30</v>
      </c>
      <c r="W10" s="25" t="s">
        <v>14</v>
      </c>
      <c r="X10" s="25" t="s">
        <v>36</v>
      </c>
      <c r="Y10" s="25" t="s">
        <v>35</v>
      </c>
      <c r="Z10" s="12" t="s">
        <v>40</v>
      </c>
      <c r="AA10" s="25" t="s">
        <v>32</v>
      </c>
      <c r="AB10" s="12"/>
      <c r="AC10" s="25" t="s">
        <v>12</v>
      </c>
      <c r="AD10" s="25" t="s">
        <v>39</v>
      </c>
      <c r="AE10" s="25" t="s">
        <v>30</v>
      </c>
      <c r="AF10" s="25" t="s">
        <v>33</v>
      </c>
      <c r="AG10" s="25" t="s">
        <v>14</v>
      </c>
      <c r="AH10" s="25" t="s">
        <v>29</v>
      </c>
      <c r="AI10" s="25" t="s">
        <v>32</v>
      </c>
      <c r="AJ10" s="344" t="s">
        <v>41</v>
      </c>
      <c r="AK10" s="12"/>
      <c r="AL10" s="25" t="s">
        <v>33</v>
      </c>
      <c r="AM10" s="25" t="s">
        <v>30</v>
      </c>
      <c r="AN10" s="25" t="s">
        <v>38</v>
      </c>
      <c r="AO10" s="25" t="s">
        <v>32</v>
      </c>
      <c r="AP10" s="25" t="s">
        <v>50</v>
      </c>
      <c r="AQ10" s="25" t="s">
        <v>43</v>
      </c>
      <c r="AR10" s="25" t="s">
        <v>14</v>
      </c>
      <c r="AS10" s="25" t="s">
        <v>12</v>
      </c>
      <c r="AT10" s="358">
        <f t="shared" si="0"/>
        <v>6</v>
      </c>
      <c r="AU10" s="358">
        <f t="shared" si="1"/>
        <v>5</v>
      </c>
      <c r="AV10" s="358">
        <f t="shared" si="2"/>
        <v>5</v>
      </c>
      <c r="AW10" s="358">
        <f t="shared" si="3"/>
        <v>2</v>
      </c>
      <c r="AX10" s="358">
        <f t="shared" si="4"/>
        <v>2</v>
      </c>
      <c r="AY10" s="358">
        <f t="shared" si="5"/>
        <v>3</v>
      </c>
      <c r="AZ10" s="358">
        <f t="shared" si="6"/>
        <v>3</v>
      </c>
      <c r="BA10" s="358">
        <f t="shared" si="7"/>
        <v>3</v>
      </c>
      <c r="BB10" s="358">
        <f t="shared" si="8"/>
        <v>1</v>
      </c>
      <c r="BC10" s="358">
        <f t="shared" si="9"/>
        <v>1</v>
      </c>
      <c r="BD10" s="358">
        <f t="shared" si="10"/>
        <v>1</v>
      </c>
      <c r="BE10" s="358">
        <f t="shared" si="11"/>
        <v>1</v>
      </c>
      <c r="BF10" s="358">
        <f t="shared" si="12"/>
        <v>1</v>
      </c>
      <c r="BG10" s="358">
        <f t="shared" si="13"/>
        <v>1</v>
      </c>
      <c r="BH10" s="358">
        <f t="shared" si="14"/>
        <v>1</v>
      </c>
      <c r="BI10" s="358">
        <f t="shared" si="15"/>
        <v>0</v>
      </c>
    </row>
    <row r="11" s="26" customFormat="1" ht="47.1" customHeight="1" spans="1:61">
      <c r="A11" s="343" t="s">
        <v>52</v>
      </c>
      <c r="B11" s="25" t="s">
        <v>29</v>
      </c>
      <c r="C11" s="25" t="s">
        <v>36</v>
      </c>
      <c r="D11" s="25" t="s">
        <v>12</v>
      </c>
      <c r="E11" s="25" t="s">
        <v>33</v>
      </c>
      <c r="F11" s="25" t="s">
        <v>14</v>
      </c>
      <c r="G11" s="25" t="s">
        <v>32</v>
      </c>
      <c r="H11" s="12" t="s">
        <v>35</v>
      </c>
      <c r="I11" s="344" t="s">
        <v>34</v>
      </c>
      <c r="J11" s="12"/>
      <c r="K11" s="25" t="s">
        <v>12</v>
      </c>
      <c r="L11" s="25" t="s">
        <v>12</v>
      </c>
      <c r="M11" s="25" t="s">
        <v>14</v>
      </c>
      <c r="N11" s="25" t="s">
        <v>32</v>
      </c>
      <c r="O11" s="25" t="s">
        <v>53</v>
      </c>
      <c r="P11" s="25" t="s">
        <v>30</v>
      </c>
      <c r="Q11" s="25" t="s">
        <v>33</v>
      </c>
      <c r="R11" s="344" t="s">
        <v>37</v>
      </c>
      <c r="S11" s="37"/>
      <c r="T11" s="25" t="s">
        <v>14</v>
      </c>
      <c r="U11" s="25" t="s">
        <v>38</v>
      </c>
      <c r="V11" s="25" t="s">
        <v>12</v>
      </c>
      <c r="W11" s="25" t="s">
        <v>31</v>
      </c>
      <c r="X11" s="25" t="s">
        <v>30</v>
      </c>
      <c r="Y11" s="25" t="s">
        <v>39</v>
      </c>
      <c r="Z11" s="25" t="s">
        <v>32</v>
      </c>
      <c r="AA11" s="344" t="s">
        <v>40</v>
      </c>
      <c r="AB11" s="37"/>
      <c r="AC11" s="25" t="s">
        <v>32</v>
      </c>
      <c r="AD11" s="25" t="s">
        <v>14</v>
      </c>
      <c r="AE11" s="25" t="s">
        <v>12</v>
      </c>
      <c r="AF11" s="25" t="s">
        <v>29</v>
      </c>
      <c r="AG11" s="25" t="s">
        <v>33</v>
      </c>
      <c r="AH11" s="25" t="s">
        <v>36</v>
      </c>
      <c r="AI11" s="25" t="s">
        <v>35</v>
      </c>
      <c r="AJ11" s="344" t="s">
        <v>41</v>
      </c>
      <c r="AK11" s="12"/>
      <c r="AL11" s="25" t="s">
        <v>14</v>
      </c>
      <c r="AM11" s="25" t="s">
        <v>26</v>
      </c>
      <c r="AN11" s="25" t="s">
        <v>30</v>
      </c>
      <c r="AO11" s="25" t="s">
        <v>32</v>
      </c>
      <c r="AP11" s="25" t="s">
        <v>53</v>
      </c>
      <c r="AQ11" s="25" t="s">
        <v>12</v>
      </c>
      <c r="AR11" s="25" t="s">
        <v>43</v>
      </c>
      <c r="AS11" s="25" t="s">
        <v>29</v>
      </c>
      <c r="AT11" s="358">
        <f t="shared" si="0"/>
        <v>6</v>
      </c>
      <c r="AU11" s="358">
        <f t="shared" si="1"/>
        <v>5</v>
      </c>
      <c r="AV11" s="358">
        <f t="shared" si="2"/>
        <v>5</v>
      </c>
      <c r="AW11" s="358">
        <f t="shared" si="3"/>
        <v>2</v>
      </c>
      <c r="AX11" s="358">
        <f t="shared" si="4"/>
        <v>2</v>
      </c>
      <c r="AY11" s="358">
        <f t="shared" si="5"/>
        <v>3</v>
      </c>
      <c r="AZ11" s="358">
        <f t="shared" si="6"/>
        <v>3</v>
      </c>
      <c r="BA11" s="358">
        <f t="shared" si="7"/>
        <v>3</v>
      </c>
      <c r="BB11" s="358">
        <f t="shared" si="8"/>
        <v>1</v>
      </c>
      <c r="BC11" s="358">
        <f t="shared" si="9"/>
        <v>1</v>
      </c>
      <c r="BD11" s="358">
        <f t="shared" si="10"/>
        <v>1</v>
      </c>
      <c r="BE11" s="358">
        <f t="shared" si="11"/>
        <v>1</v>
      </c>
      <c r="BF11" s="358">
        <f t="shared" si="12"/>
        <v>1</v>
      </c>
      <c r="BG11" s="358">
        <f t="shared" si="13"/>
        <v>1</v>
      </c>
      <c r="BH11" s="358">
        <f t="shared" si="14"/>
        <v>1</v>
      </c>
      <c r="BI11" s="358">
        <f t="shared" si="15"/>
        <v>0</v>
      </c>
    </row>
    <row r="12" s="26" customFormat="1" ht="47.1" customHeight="1" spans="1:61">
      <c r="A12" s="343" t="s">
        <v>54</v>
      </c>
      <c r="B12" s="25" t="s">
        <v>36</v>
      </c>
      <c r="C12" s="25" t="s">
        <v>32</v>
      </c>
      <c r="D12" s="25" t="s">
        <v>14</v>
      </c>
      <c r="E12" s="25" t="s">
        <v>31</v>
      </c>
      <c r="F12" s="25" t="s">
        <v>30</v>
      </c>
      <c r="G12" s="25" t="s">
        <v>12</v>
      </c>
      <c r="H12" s="25" t="s">
        <v>33</v>
      </c>
      <c r="I12" s="344" t="s">
        <v>34</v>
      </c>
      <c r="J12" s="37"/>
      <c r="K12" s="25" t="s">
        <v>32</v>
      </c>
      <c r="L12" s="25" t="s">
        <v>53</v>
      </c>
      <c r="M12" s="25" t="s">
        <v>29</v>
      </c>
      <c r="N12" s="25" t="s">
        <v>12</v>
      </c>
      <c r="O12" s="25" t="s">
        <v>12</v>
      </c>
      <c r="P12" s="12" t="s">
        <v>14</v>
      </c>
      <c r="Q12" s="25" t="s">
        <v>35</v>
      </c>
      <c r="R12" s="344" t="s">
        <v>37</v>
      </c>
      <c r="S12" s="37"/>
      <c r="T12" s="25" t="s">
        <v>29</v>
      </c>
      <c r="U12" s="25" t="s">
        <v>43</v>
      </c>
      <c r="V12" s="25" t="s">
        <v>30</v>
      </c>
      <c r="W12" s="25" t="s">
        <v>14</v>
      </c>
      <c r="X12" s="25" t="s">
        <v>12</v>
      </c>
      <c r="Y12" s="25" t="s">
        <v>32</v>
      </c>
      <c r="Z12" s="25" t="s">
        <v>33</v>
      </c>
      <c r="AA12" s="344" t="s">
        <v>39</v>
      </c>
      <c r="AB12" s="37"/>
      <c r="AC12" s="25" t="s">
        <v>35</v>
      </c>
      <c r="AD12" s="25" t="s">
        <v>12</v>
      </c>
      <c r="AE12" s="25" t="s">
        <v>14</v>
      </c>
      <c r="AF12" s="25" t="s">
        <v>32</v>
      </c>
      <c r="AG12" s="25" t="s">
        <v>38</v>
      </c>
      <c r="AH12" s="25" t="s">
        <v>30</v>
      </c>
      <c r="AI12" s="25" t="s">
        <v>36</v>
      </c>
      <c r="AJ12" s="344" t="s">
        <v>41</v>
      </c>
      <c r="AK12" s="12"/>
      <c r="AL12" s="25" t="s">
        <v>32</v>
      </c>
      <c r="AM12" s="25" t="s">
        <v>53</v>
      </c>
      <c r="AN12" s="25" t="s">
        <v>29</v>
      </c>
      <c r="AO12" s="25" t="s">
        <v>14</v>
      </c>
      <c r="AP12" s="25" t="s">
        <v>26</v>
      </c>
      <c r="AQ12" s="25" t="s">
        <v>33</v>
      </c>
      <c r="AR12" s="25" t="s">
        <v>40</v>
      </c>
      <c r="AS12" s="25" t="s">
        <v>12</v>
      </c>
      <c r="AT12" s="358">
        <f t="shared" si="0"/>
        <v>6</v>
      </c>
      <c r="AU12" s="358">
        <f t="shared" si="1"/>
        <v>5</v>
      </c>
      <c r="AV12" s="358">
        <f t="shared" si="2"/>
        <v>5</v>
      </c>
      <c r="AW12" s="358">
        <f t="shared" si="3"/>
        <v>2</v>
      </c>
      <c r="AX12" s="358">
        <f t="shared" si="4"/>
        <v>2</v>
      </c>
      <c r="AY12" s="358">
        <f t="shared" si="5"/>
        <v>3</v>
      </c>
      <c r="AZ12" s="358">
        <f t="shared" si="6"/>
        <v>3</v>
      </c>
      <c r="BA12" s="358">
        <f t="shared" si="7"/>
        <v>3</v>
      </c>
      <c r="BB12" s="358">
        <f t="shared" si="8"/>
        <v>1</v>
      </c>
      <c r="BC12" s="358">
        <f t="shared" si="9"/>
        <v>1</v>
      </c>
      <c r="BD12" s="358">
        <f t="shared" si="10"/>
        <v>1</v>
      </c>
      <c r="BE12" s="358">
        <f t="shared" si="11"/>
        <v>1</v>
      </c>
      <c r="BF12" s="358">
        <f t="shared" si="12"/>
        <v>1</v>
      </c>
      <c r="BG12" s="358">
        <f t="shared" si="13"/>
        <v>1</v>
      </c>
      <c r="BH12" s="358">
        <f t="shared" si="14"/>
        <v>1</v>
      </c>
      <c r="BI12" s="358">
        <f t="shared" si="15"/>
        <v>0</v>
      </c>
    </row>
    <row r="13" s="26" customFormat="1" ht="47.1" customHeight="1" spans="1:61">
      <c r="A13" s="343" t="s">
        <v>55</v>
      </c>
      <c r="B13" s="25" t="s">
        <v>32</v>
      </c>
      <c r="C13" s="25" t="s">
        <v>30</v>
      </c>
      <c r="D13" s="25" t="s">
        <v>33</v>
      </c>
      <c r="E13" s="25" t="s">
        <v>36</v>
      </c>
      <c r="F13" s="25" t="s">
        <v>43</v>
      </c>
      <c r="G13" s="25" t="s">
        <v>12</v>
      </c>
      <c r="H13" s="25" t="s">
        <v>14</v>
      </c>
      <c r="I13" s="344" t="s">
        <v>34</v>
      </c>
      <c r="J13" s="37"/>
      <c r="K13" s="25" t="s">
        <v>12</v>
      </c>
      <c r="L13" s="25" t="s">
        <v>12</v>
      </c>
      <c r="M13" s="25" t="s">
        <v>29</v>
      </c>
      <c r="N13" s="25" t="s">
        <v>14</v>
      </c>
      <c r="O13" s="25" t="s">
        <v>32</v>
      </c>
      <c r="P13" s="25" t="s">
        <v>35</v>
      </c>
      <c r="Q13" s="25" t="s">
        <v>31</v>
      </c>
      <c r="R13" s="344" t="s">
        <v>37</v>
      </c>
      <c r="S13" s="37"/>
      <c r="T13" s="25" t="s">
        <v>14</v>
      </c>
      <c r="U13" s="25" t="s">
        <v>26</v>
      </c>
      <c r="V13" s="25" t="s">
        <v>29</v>
      </c>
      <c r="W13" s="25" t="s">
        <v>12</v>
      </c>
      <c r="X13" s="25" t="s">
        <v>38</v>
      </c>
      <c r="Y13" s="25" t="s">
        <v>32</v>
      </c>
      <c r="Z13" s="12" t="s">
        <v>39</v>
      </c>
      <c r="AA13" s="344" t="s">
        <v>30</v>
      </c>
      <c r="AB13" s="12"/>
      <c r="AC13" s="25" t="s">
        <v>32</v>
      </c>
      <c r="AD13" s="25" t="s">
        <v>56</v>
      </c>
      <c r="AE13" s="25" t="s">
        <v>12</v>
      </c>
      <c r="AF13" s="25" t="s">
        <v>36</v>
      </c>
      <c r="AG13" s="25" t="s">
        <v>35</v>
      </c>
      <c r="AH13" s="25" t="s">
        <v>33</v>
      </c>
      <c r="AI13" s="25" t="s">
        <v>14</v>
      </c>
      <c r="AJ13" s="344" t="s">
        <v>41</v>
      </c>
      <c r="AK13" s="37"/>
      <c r="AL13" s="25" t="s">
        <v>32</v>
      </c>
      <c r="AM13" s="25" t="s">
        <v>56</v>
      </c>
      <c r="AN13" s="25" t="s">
        <v>30</v>
      </c>
      <c r="AO13" s="25" t="s">
        <v>29</v>
      </c>
      <c r="AP13" s="25" t="s">
        <v>14</v>
      </c>
      <c r="AQ13" s="25" t="s">
        <v>12</v>
      </c>
      <c r="AR13" s="25" t="s">
        <v>33</v>
      </c>
      <c r="AS13" s="25" t="s">
        <v>40</v>
      </c>
      <c r="AT13" s="358">
        <f t="shared" si="0"/>
        <v>6</v>
      </c>
      <c r="AU13" s="358">
        <f t="shared" si="1"/>
        <v>5</v>
      </c>
      <c r="AV13" s="358">
        <f t="shared" si="2"/>
        <v>5</v>
      </c>
      <c r="AW13" s="358">
        <f t="shared" si="3"/>
        <v>2</v>
      </c>
      <c r="AX13" s="358">
        <f t="shared" si="4"/>
        <v>2</v>
      </c>
      <c r="AY13" s="358">
        <f t="shared" si="5"/>
        <v>3</v>
      </c>
      <c r="AZ13" s="358">
        <f t="shared" si="6"/>
        <v>3</v>
      </c>
      <c r="BA13" s="358">
        <f t="shared" si="7"/>
        <v>3</v>
      </c>
      <c r="BB13" s="358">
        <f t="shared" si="8"/>
        <v>1</v>
      </c>
      <c r="BC13" s="358">
        <f t="shared" si="9"/>
        <v>1</v>
      </c>
      <c r="BD13" s="358">
        <f t="shared" si="10"/>
        <v>1</v>
      </c>
      <c r="BE13" s="358">
        <f t="shared" si="11"/>
        <v>1</v>
      </c>
      <c r="BF13" s="358">
        <f t="shared" si="12"/>
        <v>1</v>
      </c>
      <c r="BG13" s="358">
        <f t="shared" si="13"/>
        <v>1</v>
      </c>
      <c r="BH13" s="358">
        <f t="shared" si="14"/>
        <v>1</v>
      </c>
      <c r="BI13" s="358">
        <f t="shared" si="15"/>
        <v>0</v>
      </c>
    </row>
    <row r="14" s="26" customFormat="1" ht="47.1" customHeight="1" spans="1:61">
      <c r="A14" s="343" t="s">
        <v>57</v>
      </c>
      <c r="B14" s="25" t="s">
        <v>14</v>
      </c>
      <c r="C14" s="25" t="s">
        <v>12</v>
      </c>
      <c r="D14" s="12" t="s">
        <v>35</v>
      </c>
      <c r="E14" s="25" t="s">
        <v>32</v>
      </c>
      <c r="F14" s="25" t="s">
        <v>36</v>
      </c>
      <c r="G14" s="25" t="s">
        <v>33</v>
      </c>
      <c r="H14" s="25" t="s">
        <v>29</v>
      </c>
      <c r="I14" s="344" t="s">
        <v>34</v>
      </c>
      <c r="J14" s="37"/>
      <c r="K14" s="25" t="s">
        <v>14</v>
      </c>
      <c r="L14" s="25" t="s">
        <v>29</v>
      </c>
      <c r="M14" s="25" t="s">
        <v>32</v>
      </c>
      <c r="N14" s="25" t="s">
        <v>12</v>
      </c>
      <c r="O14" s="25" t="s">
        <v>12</v>
      </c>
      <c r="P14" s="25" t="s">
        <v>33</v>
      </c>
      <c r="Q14" s="25" t="s">
        <v>30</v>
      </c>
      <c r="R14" s="344" t="s">
        <v>37</v>
      </c>
      <c r="S14" s="37"/>
      <c r="T14" s="25" t="s">
        <v>36</v>
      </c>
      <c r="U14" s="25" t="s">
        <v>39</v>
      </c>
      <c r="V14" s="25" t="s">
        <v>12</v>
      </c>
      <c r="W14" s="25" t="s">
        <v>14</v>
      </c>
      <c r="X14" s="25" t="s">
        <v>26</v>
      </c>
      <c r="Y14" s="25" t="s">
        <v>35</v>
      </c>
      <c r="Z14" s="25" t="s">
        <v>32</v>
      </c>
      <c r="AA14" s="344" t="s">
        <v>40</v>
      </c>
      <c r="AB14" s="12"/>
      <c r="AC14" s="25" t="s">
        <v>12</v>
      </c>
      <c r="AD14" s="25" t="s">
        <v>33</v>
      </c>
      <c r="AE14" s="25" t="s">
        <v>14</v>
      </c>
      <c r="AF14" s="25" t="s">
        <v>38</v>
      </c>
      <c r="AG14" s="25" t="s">
        <v>30</v>
      </c>
      <c r="AH14" s="25" t="s">
        <v>32</v>
      </c>
      <c r="AI14" s="25" t="s">
        <v>56</v>
      </c>
      <c r="AJ14" s="344" t="s">
        <v>41</v>
      </c>
      <c r="AK14" s="12"/>
      <c r="AL14" s="25" t="s">
        <v>29</v>
      </c>
      <c r="AM14" s="25" t="s">
        <v>43</v>
      </c>
      <c r="AN14" s="25" t="s">
        <v>14</v>
      </c>
      <c r="AO14" s="25" t="s">
        <v>32</v>
      </c>
      <c r="AP14" s="25" t="s">
        <v>56</v>
      </c>
      <c r="AQ14" s="25" t="s">
        <v>31</v>
      </c>
      <c r="AR14" s="25" t="s">
        <v>12</v>
      </c>
      <c r="AS14" s="25" t="s">
        <v>30</v>
      </c>
      <c r="AT14" s="358">
        <f t="shared" si="0"/>
        <v>6</v>
      </c>
      <c r="AU14" s="358">
        <f t="shared" si="1"/>
        <v>5</v>
      </c>
      <c r="AV14" s="358">
        <f t="shared" si="2"/>
        <v>5</v>
      </c>
      <c r="AW14" s="358">
        <f t="shared" si="3"/>
        <v>2</v>
      </c>
      <c r="AX14" s="358">
        <f t="shared" si="4"/>
        <v>2</v>
      </c>
      <c r="AY14" s="358">
        <f t="shared" si="5"/>
        <v>3</v>
      </c>
      <c r="AZ14" s="358">
        <f t="shared" si="6"/>
        <v>3</v>
      </c>
      <c r="BA14" s="358">
        <f t="shared" si="7"/>
        <v>3</v>
      </c>
      <c r="BB14" s="358">
        <f t="shared" si="8"/>
        <v>1</v>
      </c>
      <c r="BC14" s="358">
        <f t="shared" si="9"/>
        <v>1</v>
      </c>
      <c r="BD14" s="358">
        <f t="shared" si="10"/>
        <v>1</v>
      </c>
      <c r="BE14" s="358">
        <f t="shared" si="11"/>
        <v>1</v>
      </c>
      <c r="BF14" s="358">
        <f t="shared" si="12"/>
        <v>1</v>
      </c>
      <c r="BG14" s="358">
        <f t="shared" si="13"/>
        <v>1</v>
      </c>
      <c r="BH14" s="358">
        <f t="shared" si="14"/>
        <v>1</v>
      </c>
      <c r="BI14" s="358">
        <f t="shared" si="15"/>
        <v>0</v>
      </c>
    </row>
    <row r="15" s="26" customFormat="1" ht="47.1" customHeight="1" spans="1:61">
      <c r="A15" s="343" t="s">
        <v>58</v>
      </c>
      <c r="B15" s="25" t="s">
        <v>29</v>
      </c>
      <c r="C15" s="25" t="s">
        <v>38</v>
      </c>
      <c r="D15" s="25" t="s">
        <v>32</v>
      </c>
      <c r="E15" s="25" t="s">
        <v>33</v>
      </c>
      <c r="F15" s="25" t="s">
        <v>14</v>
      </c>
      <c r="G15" s="25" t="s">
        <v>30</v>
      </c>
      <c r="H15" s="25" t="s">
        <v>12</v>
      </c>
      <c r="I15" s="344" t="s">
        <v>34</v>
      </c>
      <c r="J15" s="37"/>
      <c r="K15" s="25" t="s">
        <v>12</v>
      </c>
      <c r="L15" s="25" t="s">
        <v>12</v>
      </c>
      <c r="M15" s="25" t="s">
        <v>14</v>
      </c>
      <c r="N15" s="25" t="s">
        <v>59</v>
      </c>
      <c r="O15" s="25" t="s">
        <v>32</v>
      </c>
      <c r="P15" s="25" t="s">
        <v>33</v>
      </c>
      <c r="Q15" s="25" t="s">
        <v>36</v>
      </c>
      <c r="R15" s="344" t="s">
        <v>37</v>
      </c>
      <c r="S15" s="12"/>
      <c r="T15" s="25" t="s">
        <v>14</v>
      </c>
      <c r="U15" s="25" t="s">
        <v>26</v>
      </c>
      <c r="V15" s="25" t="s">
        <v>12</v>
      </c>
      <c r="W15" s="25" t="s">
        <v>29</v>
      </c>
      <c r="X15" s="25" t="s">
        <v>30</v>
      </c>
      <c r="Y15" s="25" t="s">
        <v>32</v>
      </c>
      <c r="Z15" s="25" t="s">
        <v>35</v>
      </c>
      <c r="AA15" s="344" t="s">
        <v>40</v>
      </c>
      <c r="AB15" s="12"/>
      <c r="AC15" s="25" t="s">
        <v>32</v>
      </c>
      <c r="AD15" s="25" t="s">
        <v>33</v>
      </c>
      <c r="AE15" s="25" t="s">
        <v>43</v>
      </c>
      <c r="AF15" s="25" t="s">
        <v>39</v>
      </c>
      <c r="AG15" s="25" t="s">
        <v>12</v>
      </c>
      <c r="AH15" s="25" t="s">
        <v>29</v>
      </c>
      <c r="AI15" s="25" t="s">
        <v>14</v>
      </c>
      <c r="AJ15" s="344" t="s">
        <v>41</v>
      </c>
      <c r="AK15" s="12"/>
      <c r="AL15" s="25" t="s">
        <v>14</v>
      </c>
      <c r="AM15" s="25" t="s">
        <v>30</v>
      </c>
      <c r="AN15" s="25" t="s">
        <v>35</v>
      </c>
      <c r="AO15" s="25" t="s">
        <v>32</v>
      </c>
      <c r="AP15" s="25" t="s">
        <v>59</v>
      </c>
      <c r="AQ15" s="25" t="s">
        <v>36</v>
      </c>
      <c r="AR15" s="25" t="s">
        <v>31</v>
      </c>
      <c r="AS15" s="12" t="s">
        <v>12</v>
      </c>
      <c r="AT15" s="358">
        <f t="shared" si="0"/>
        <v>6</v>
      </c>
      <c r="AU15" s="358">
        <f t="shared" si="1"/>
        <v>5</v>
      </c>
      <c r="AV15" s="358">
        <f t="shared" si="2"/>
        <v>5</v>
      </c>
      <c r="AW15" s="358">
        <f t="shared" si="3"/>
        <v>2</v>
      </c>
      <c r="AX15" s="358">
        <f t="shared" si="4"/>
        <v>2</v>
      </c>
      <c r="AY15" s="358">
        <f t="shared" si="5"/>
        <v>3</v>
      </c>
      <c r="AZ15" s="358">
        <f t="shared" si="6"/>
        <v>3</v>
      </c>
      <c r="BA15" s="358">
        <f t="shared" si="7"/>
        <v>3</v>
      </c>
      <c r="BB15" s="358">
        <f t="shared" si="8"/>
        <v>1</v>
      </c>
      <c r="BC15" s="358">
        <f t="shared" si="9"/>
        <v>1</v>
      </c>
      <c r="BD15" s="358">
        <f t="shared" si="10"/>
        <v>1</v>
      </c>
      <c r="BE15" s="358">
        <f t="shared" si="11"/>
        <v>1</v>
      </c>
      <c r="BF15" s="358">
        <f t="shared" si="12"/>
        <v>1</v>
      </c>
      <c r="BG15" s="358">
        <f t="shared" si="13"/>
        <v>1</v>
      </c>
      <c r="BH15" s="358">
        <f t="shared" si="14"/>
        <v>1</v>
      </c>
      <c r="BI15" s="358">
        <f t="shared" si="15"/>
        <v>0</v>
      </c>
    </row>
    <row r="16" s="26" customFormat="1" ht="47.1" customHeight="1" spans="1:61">
      <c r="A16" s="343" t="s">
        <v>60</v>
      </c>
      <c r="B16" s="25" t="s">
        <v>36</v>
      </c>
      <c r="C16" s="25" t="s">
        <v>32</v>
      </c>
      <c r="D16" s="25" t="s">
        <v>43</v>
      </c>
      <c r="E16" s="25" t="s">
        <v>14</v>
      </c>
      <c r="F16" s="25" t="s">
        <v>12</v>
      </c>
      <c r="G16" s="25" t="s">
        <v>35</v>
      </c>
      <c r="H16" s="25" t="s">
        <v>38</v>
      </c>
      <c r="I16" s="344" t="s">
        <v>34</v>
      </c>
      <c r="J16" s="37"/>
      <c r="K16" s="25" t="s">
        <v>32</v>
      </c>
      <c r="L16" s="25" t="s">
        <v>59</v>
      </c>
      <c r="M16" s="25" t="s">
        <v>33</v>
      </c>
      <c r="N16" s="25" t="s">
        <v>12</v>
      </c>
      <c r="O16" s="25" t="s">
        <v>12</v>
      </c>
      <c r="P16" s="25" t="s">
        <v>14</v>
      </c>
      <c r="Q16" s="25" t="s">
        <v>29</v>
      </c>
      <c r="R16" s="344" t="s">
        <v>37</v>
      </c>
      <c r="S16" s="12"/>
      <c r="T16" s="25" t="s">
        <v>29</v>
      </c>
      <c r="U16" s="25" t="s">
        <v>12</v>
      </c>
      <c r="V16" s="25" t="s">
        <v>30</v>
      </c>
      <c r="W16" s="25" t="s">
        <v>14</v>
      </c>
      <c r="X16" s="25" t="s">
        <v>26</v>
      </c>
      <c r="Y16" s="25" t="s">
        <v>31</v>
      </c>
      <c r="Z16" s="25" t="s">
        <v>32</v>
      </c>
      <c r="AA16" s="344" t="s">
        <v>40</v>
      </c>
      <c r="AB16" s="37"/>
      <c r="AC16" s="25" t="s">
        <v>12</v>
      </c>
      <c r="AD16" s="25" t="s">
        <v>14</v>
      </c>
      <c r="AE16" s="25" t="s">
        <v>36</v>
      </c>
      <c r="AF16" s="25" t="s">
        <v>32</v>
      </c>
      <c r="AG16" s="25" t="s">
        <v>33</v>
      </c>
      <c r="AH16" s="25" t="s">
        <v>35</v>
      </c>
      <c r="AI16" s="25" t="s">
        <v>30</v>
      </c>
      <c r="AJ16" s="344" t="s">
        <v>41</v>
      </c>
      <c r="AK16" s="37"/>
      <c r="AL16" s="25" t="s">
        <v>59</v>
      </c>
      <c r="AM16" s="25" t="s">
        <v>32</v>
      </c>
      <c r="AN16" s="25" t="s">
        <v>39</v>
      </c>
      <c r="AO16" s="25" t="s">
        <v>14</v>
      </c>
      <c r="AP16" s="25" t="s">
        <v>29</v>
      </c>
      <c r="AQ16" s="12" t="s">
        <v>12</v>
      </c>
      <c r="AR16" s="25" t="s">
        <v>33</v>
      </c>
      <c r="AS16" s="25" t="s">
        <v>30</v>
      </c>
      <c r="AT16" s="358">
        <f t="shared" si="0"/>
        <v>6</v>
      </c>
      <c r="AU16" s="358">
        <f t="shared" si="1"/>
        <v>5</v>
      </c>
      <c r="AV16" s="358">
        <f t="shared" si="2"/>
        <v>5</v>
      </c>
      <c r="AW16" s="358">
        <f t="shared" si="3"/>
        <v>2</v>
      </c>
      <c r="AX16" s="358">
        <f t="shared" si="4"/>
        <v>2</v>
      </c>
      <c r="AY16" s="358">
        <f t="shared" si="5"/>
        <v>3</v>
      </c>
      <c r="AZ16" s="358">
        <f t="shared" si="6"/>
        <v>3</v>
      </c>
      <c r="BA16" s="358">
        <f t="shared" si="7"/>
        <v>3</v>
      </c>
      <c r="BB16" s="358">
        <f t="shared" si="8"/>
        <v>1</v>
      </c>
      <c r="BC16" s="358">
        <f t="shared" si="9"/>
        <v>1</v>
      </c>
      <c r="BD16" s="358">
        <f t="shared" si="10"/>
        <v>1</v>
      </c>
      <c r="BE16" s="358">
        <f t="shared" si="11"/>
        <v>1</v>
      </c>
      <c r="BF16" s="358">
        <f t="shared" si="12"/>
        <v>1</v>
      </c>
      <c r="BG16" s="358">
        <f t="shared" si="13"/>
        <v>1</v>
      </c>
      <c r="BH16" s="358">
        <f t="shared" si="14"/>
        <v>1</v>
      </c>
      <c r="BI16" s="358">
        <f t="shared" si="15"/>
        <v>0</v>
      </c>
    </row>
    <row r="17" s="26" customFormat="1" ht="47.1" customHeight="1" spans="1:61">
      <c r="A17" s="343" t="s">
        <v>61</v>
      </c>
      <c r="B17" s="25" t="s">
        <v>14</v>
      </c>
      <c r="C17" s="25" t="s">
        <v>33</v>
      </c>
      <c r="D17" s="25" t="s">
        <v>32</v>
      </c>
      <c r="E17" s="25" t="s">
        <v>12</v>
      </c>
      <c r="F17" s="25" t="s">
        <v>30</v>
      </c>
      <c r="G17" s="25" t="s">
        <v>29</v>
      </c>
      <c r="H17" s="25" t="s">
        <v>35</v>
      </c>
      <c r="I17" s="344" t="s">
        <v>34</v>
      </c>
      <c r="J17" s="37"/>
      <c r="K17" s="25" t="s">
        <v>12</v>
      </c>
      <c r="L17" s="25" t="s">
        <v>12</v>
      </c>
      <c r="M17" s="25" t="s">
        <v>14</v>
      </c>
      <c r="N17" s="25" t="s">
        <v>62</v>
      </c>
      <c r="O17" s="25" t="s">
        <v>32</v>
      </c>
      <c r="P17" s="12" t="s">
        <v>38</v>
      </c>
      <c r="Q17" s="25" t="s">
        <v>43</v>
      </c>
      <c r="R17" s="344" t="s">
        <v>37</v>
      </c>
      <c r="S17" s="25"/>
      <c r="T17" s="25" t="s">
        <v>39</v>
      </c>
      <c r="U17" s="25" t="s">
        <v>29</v>
      </c>
      <c r="V17" s="25" t="s">
        <v>12</v>
      </c>
      <c r="W17" s="25" t="s">
        <v>14</v>
      </c>
      <c r="X17" s="25" t="s">
        <v>30</v>
      </c>
      <c r="Y17" s="25" t="s">
        <v>32</v>
      </c>
      <c r="Z17" s="25" t="s">
        <v>33</v>
      </c>
      <c r="AA17" s="25" t="s">
        <v>36</v>
      </c>
      <c r="AB17" s="25"/>
      <c r="AC17" s="25" t="s">
        <v>32</v>
      </c>
      <c r="AD17" s="25" t="s">
        <v>62</v>
      </c>
      <c r="AE17" s="25" t="s">
        <v>12</v>
      </c>
      <c r="AF17" s="25" t="s">
        <v>26</v>
      </c>
      <c r="AG17" s="25" t="s">
        <v>14</v>
      </c>
      <c r="AH17" s="25" t="s">
        <v>31</v>
      </c>
      <c r="AI17" s="25" t="s">
        <v>35</v>
      </c>
      <c r="AJ17" s="344" t="s">
        <v>41</v>
      </c>
      <c r="AK17" s="12"/>
      <c r="AL17" s="25" t="s">
        <v>32</v>
      </c>
      <c r="AM17" s="25" t="s">
        <v>29</v>
      </c>
      <c r="AN17" s="25" t="s">
        <v>30</v>
      </c>
      <c r="AO17" s="25" t="s">
        <v>14</v>
      </c>
      <c r="AP17" s="25" t="s">
        <v>33</v>
      </c>
      <c r="AQ17" s="25" t="s">
        <v>40</v>
      </c>
      <c r="AR17" s="25" t="s">
        <v>12</v>
      </c>
      <c r="AS17" s="344" t="s">
        <v>36</v>
      </c>
      <c r="AT17" s="358">
        <f t="shared" si="0"/>
        <v>6</v>
      </c>
      <c r="AU17" s="358">
        <f t="shared" si="1"/>
        <v>5</v>
      </c>
      <c r="AV17" s="358">
        <f t="shared" si="2"/>
        <v>5</v>
      </c>
      <c r="AW17" s="358">
        <f t="shared" si="3"/>
        <v>2</v>
      </c>
      <c r="AX17" s="358">
        <f t="shared" si="4"/>
        <v>2</v>
      </c>
      <c r="AY17" s="358">
        <f t="shared" si="5"/>
        <v>3</v>
      </c>
      <c r="AZ17" s="358">
        <f t="shared" si="6"/>
        <v>3</v>
      </c>
      <c r="BA17" s="358">
        <f t="shared" si="7"/>
        <v>3</v>
      </c>
      <c r="BB17" s="358">
        <f t="shared" si="8"/>
        <v>1</v>
      </c>
      <c r="BC17" s="358">
        <f t="shared" si="9"/>
        <v>1</v>
      </c>
      <c r="BD17" s="358">
        <f t="shared" si="10"/>
        <v>1</v>
      </c>
      <c r="BE17" s="358">
        <f t="shared" si="11"/>
        <v>1</v>
      </c>
      <c r="BF17" s="358">
        <f t="shared" si="12"/>
        <v>1</v>
      </c>
      <c r="BG17" s="358">
        <f t="shared" si="13"/>
        <v>1</v>
      </c>
      <c r="BH17" s="358">
        <f t="shared" si="14"/>
        <v>1</v>
      </c>
      <c r="BI17" s="358">
        <f t="shared" si="15"/>
        <v>0</v>
      </c>
    </row>
    <row r="18" s="26" customFormat="1" ht="47.1" customHeight="1" spans="1:61">
      <c r="A18" s="343" t="s">
        <v>63</v>
      </c>
      <c r="B18" s="25" t="s">
        <v>32</v>
      </c>
      <c r="C18" s="25" t="s">
        <v>40</v>
      </c>
      <c r="D18" s="25" t="s">
        <v>36</v>
      </c>
      <c r="E18" s="25" t="s">
        <v>29</v>
      </c>
      <c r="F18" s="25" t="s">
        <v>12</v>
      </c>
      <c r="G18" s="25" t="s">
        <v>14</v>
      </c>
      <c r="H18" s="25" t="s">
        <v>33</v>
      </c>
      <c r="I18" s="344" t="s">
        <v>34</v>
      </c>
      <c r="J18" s="37"/>
      <c r="K18" s="25" t="s">
        <v>32</v>
      </c>
      <c r="L18" s="25" t="s">
        <v>62</v>
      </c>
      <c r="M18" s="25" t="s">
        <v>35</v>
      </c>
      <c r="N18" s="25" t="s">
        <v>12</v>
      </c>
      <c r="O18" s="25" t="s">
        <v>12</v>
      </c>
      <c r="P18" s="25" t="s">
        <v>29</v>
      </c>
      <c r="Q18" s="25" t="s">
        <v>14</v>
      </c>
      <c r="R18" s="344" t="s">
        <v>37</v>
      </c>
      <c r="S18" s="12"/>
      <c r="T18" s="25" t="s">
        <v>14</v>
      </c>
      <c r="U18" s="25" t="s">
        <v>26</v>
      </c>
      <c r="V18" s="25" t="s">
        <v>36</v>
      </c>
      <c r="W18" s="25" t="s">
        <v>12</v>
      </c>
      <c r="X18" s="12" t="s">
        <v>39</v>
      </c>
      <c r="Y18" s="25" t="s">
        <v>33</v>
      </c>
      <c r="Z18" s="25" t="s">
        <v>32</v>
      </c>
      <c r="AA18" s="25" t="s">
        <v>30</v>
      </c>
      <c r="AB18" s="37"/>
      <c r="AC18" s="25" t="s">
        <v>12</v>
      </c>
      <c r="AD18" s="25" t="s">
        <v>14</v>
      </c>
      <c r="AE18" s="25" t="s">
        <v>35</v>
      </c>
      <c r="AF18" s="25" t="s">
        <v>30</v>
      </c>
      <c r="AG18" s="25" t="s">
        <v>38</v>
      </c>
      <c r="AH18" s="25" t="s">
        <v>32</v>
      </c>
      <c r="AI18" s="25" t="s">
        <v>62</v>
      </c>
      <c r="AJ18" s="344" t="s">
        <v>41</v>
      </c>
      <c r="AK18" s="25"/>
      <c r="AL18" s="25" t="s">
        <v>29</v>
      </c>
      <c r="AM18" s="25" t="s">
        <v>33</v>
      </c>
      <c r="AN18" s="25" t="s">
        <v>32</v>
      </c>
      <c r="AO18" s="25" t="s">
        <v>43</v>
      </c>
      <c r="AP18" s="25" t="s">
        <v>14</v>
      </c>
      <c r="AQ18" s="25" t="s">
        <v>12</v>
      </c>
      <c r="AR18" s="25" t="s">
        <v>30</v>
      </c>
      <c r="AS18" s="25" t="s">
        <v>31</v>
      </c>
      <c r="AT18" s="358">
        <f t="shared" si="0"/>
        <v>6</v>
      </c>
      <c r="AU18" s="358">
        <f t="shared" si="1"/>
        <v>5</v>
      </c>
      <c r="AV18" s="358">
        <f t="shared" si="2"/>
        <v>5</v>
      </c>
      <c r="AW18" s="358">
        <f t="shared" si="3"/>
        <v>2</v>
      </c>
      <c r="AX18" s="358">
        <f t="shared" si="4"/>
        <v>2</v>
      </c>
      <c r="AY18" s="358">
        <f t="shared" si="5"/>
        <v>3</v>
      </c>
      <c r="AZ18" s="358">
        <f t="shared" si="6"/>
        <v>3</v>
      </c>
      <c r="BA18" s="358">
        <f t="shared" si="7"/>
        <v>3</v>
      </c>
      <c r="BB18" s="358">
        <f t="shared" si="8"/>
        <v>1</v>
      </c>
      <c r="BC18" s="358">
        <f t="shared" si="9"/>
        <v>1</v>
      </c>
      <c r="BD18" s="358">
        <f t="shared" si="10"/>
        <v>1</v>
      </c>
      <c r="BE18" s="358">
        <f t="shared" si="11"/>
        <v>1</v>
      </c>
      <c r="BF18" s="358">
        <f t="shared" si="12"/>
        <v>1</v>
      </c>
      <c r="BG18" s="358">
        <f t="shared" si="13"/>
        <v>1</v>
      </c>
      <c r="BH18" s="358">
        <f t="shared" si="14"/>
        <v>1</v>
      </c>
      <c r="BI18" s="358">
        <f t="shared" si="15"/>
        <v>0</v>
      </c>
    </row>
    <row r="19" s="26" customFormat="1" ht="47.1" customHeight="1" spans="1:61">
      <c r="A19" s="343" t="s">
        <v>64</v>
      </c>
      <c r="B19" s="25" t="s">
        <v>32</v>
      </c>
      <c r="C19" s="25" t="s">
        <v>43</v>
      </c>
      <c r="D19" s="25" t="s">
        <v>14</v>
      </c>
      <c r="E19" s="25" t="s">
        <v>39</v>
      </c>
      <c r="F19" s="25" t="s">
        <v>12</v>
      </c>
      <c r="G19" s="25" t="s">
        <v>30</v>
      </c>
      <c r="H19" s="25" t="s">
        <v>36</v>
      </c>
      <c r="I19" s="344" t="s">
        <v>34</v>
      </c>
      <c r="J19" s="37"/>
      <c r="K19" s="25" t="s">
        <v>12</v>
      </c>
      <c r="L19" s="25" t="s">
        <v>31</v>
      </c>
      <c r="M19" s="25" t="s">
        <v>33</v>
      </c>
      <c r="N19" s="25" t="s">
        <v>65</v>
      </c>
      <c r="O19" s="25" t="s">
        <v>32</v>
      </c>
      <c r="P19" s="25" t="s">
        <v>35</v>
      </c>
      <c r="Q19" s="25" t="s">
        <v>14</v>
      </c>
      <c r="R19" s="344" t="s">
        <v>37</v>
      </c>
      <c r="S19" s="12"/>
      <c r="T19" s="25" t="s">
        <v>14</v>
      </c>
      <c r="U19" s="25" t="s">
        <v>26</v>
      </c>
      <c r="V19" s="25" t="s">
        <v>29</v>
      </c>
      <c r="W19" s="25" t="s">
        <v>12</v>
      </c>
      <c r="X19" s="25" t="s">
        <v>12</v>
      </c>
      <c r="Y19" s="25" t="s">
        <v>30</v>
      </c>
      <c r="Z19" s="25" t="s">
        <v>33</v>
      </c>
      <c r="AA19" s="25" t="s">
        <v>32</v>
      </c>
      <c r="AB19" s="12"/>
      <c r="AC19" s="25" t="s">
        <v>36</v>
      </c>
      <c r="AD19" s="25" t="s">
        <v>32</v>
      </c>
      <c r="AE19" s="25" t="s">
        <v>66</v>
      </c>
      <c r="AF19" s="25" t="s">
        <v>12</v>
      </c>
      <c r="AG19" s="25" t="s">
        <v>14</v>
      </c>
      <c r="AH19" s="25" t="s">
        <v>30</v>
      </c>
      <c r="AI19" s="25" t="s">
        <v>29</v>
      </c>
      <c r="AJ19" s="344" t="s">
        <v>41</v>
      </c>
      <c r="AK19" s="12"/>
      <c r="AL19" s="25" t="s">
        <v>14</v>
      </c>
      <c r="AM19" s="25" t="s">
        <v>35</v>
      </c>
      <c r="AN19" s="25" t="s">
        <v>38</v>
      </c>
      <c r="AO19" s="25" t="s">
        <v>32</v>
      </c>
      <c r="AP19" s="25" t="s">
        <v>29</v>
      </c>
      <c r="AQ19" s="11" t="s">
        <v>40</v>
      </c>
      <c r="AR19" s="25" t="s">
        <v>12</v>
      </c>
      <c r="AS19" s="11" t="s">
        <v>33</v>
      </c>
      <c r="AT19" s="358">
        <f t="shared" si="0"/>
        <v>6</v>
      </c>
      <c r="AU19" s="358">
        <f t="shared" si="1"/>
        <v>5</v>
      </c>
      <c r="AV19" s="358">
        <f t="shared" si="2"/>
        <v>5</v>
      </c>
      <c r="AW19" s="358">
        <f t="shared" si="3"/>
        <v>2</v>
      </c>
      <c r="AX19" s="358">
        <f t="shared" si="4"/>
        <v>2</v>
      </c>
      <c r="AY19" s="358">
        <f t="shared" si="5"/>
        <v>3</v>
      </c>
      <c r="AZ19" s="358">
        <f t="shared" si="6"/>
        <v>3</v>
      </c>
      <c r="BA19" s="358">
        <f t="shared" si="7"/>
        <v>3</v>
      </c>
      <c r="BB19" s="358">
        <f t="shared" si="8"/>
        <v>1</v>
      </c>
      <c r="BC19" s="358">
        <f t="shared" si="9"/>
        <v>1</v>
      </c>
      <c r="BD19" s="358">
        <f t="shared" si="10"/>
        <v>1</v>
      </c>
      <c r="BE19" s="358">
        <f t="shared" si="11"/>
        <v>1</v>
      </c>
      <c r="BF19" s="358">
        <f t="shared" si="12"/>
        <v>1</v>
      </c>
      <c r="BG19" s="358">
        <f t="shared" si="13"/>
        <v>1</v>
      </c>
      <c r="BH19" s="358">
        <f t="shared" si="14"/>
        <v>1</v>
      </c>
      <c r="BI19" s="358">
        <f t="shared" si="15"/>
        <v>0</v>
      </c>
    </row>
    <row r="20" s="26" customFormat="1" ht="47.1" customHeight="1" spans="1:61">
      <c r="A20" s="343" t="s">
        <v>67</v>
      </c>
      <c r="B20" s="25" t="s">
        <v>14</v>
      </c>
      <c r="C20" s="25" t="s">
        <v>35</v>
      </c>
      <c r="D20" s="25" t="s">
        <v>32</v>
      </c>
      <c r="E20" s="25" t="s">
        <v>12</v>
      </c>
      <c r="F20" s="25" t="s">
        <v>30</v>
      </c>
      <c r="G20" s="25" t="s">
        <v>33</v>
      </c>
      <c r="H20" s="25" t="s">
        <v>29</v>
      </c>
      <c r="I20" s="344" t="s">
        <v>34</v>
      </c>
      <c r="J20" s="12"/>
      <c r="K20" s="25" t="s">
        <v>32</v>
      </c>
      <c r="L20" s="25" t="s">
        <v>66</v>
      </c>
      <c r="M20" s="25" t="s">
        <v>31</v>
      </c>
      <c r="N20" s="25" t="s">
        <v>12</v>
      </c>
      <c r="O20" s="25" t="s">
        <v>14</v>
      </c>
      <c r="P20" s="25" t="s">
        <v>33</v>
      </c>
      <c r="Q20" s="25" t="s">
        <v>36</v>
      </c>
      <c r="R20" s="344" t="s">
        <v>37</v>
      </c>
      <c r="S20" s="37"/>
      <c r="T20" s="25" t="s">
        <v>29</v>
      </c>
      <c r="U20" s="25" t="s">
        <v>43</v>
      </c>
      <c r="V20" s="25" t="s">
        <v>30</v>
      </c>
      <c r="W20" s="25" t="s">
        <v>26</v>
      </c>
      <c r="X20" s="25" t="s">
        <v>14</v>
      </c>
      <c r="Y20" s="25" t="s">
        <v>32</v>
      </c>
      <c r="Z20" s="25" t="s">
        <v>12</v>
      </c>
      <c r="AA20" s="25" t="s">
        <v>12</v>
      </c>
      <c r="AB20" s="12"/>
      <c r="AC20" s="25" t="s">
        <v>12</v>
      </c>
      <c r="AD20" s="25" t="s">
        <v>35</v>
      </c>
      <c r="AE20" s="25" t="s">
        <v>14</v>
      </c>
      <c r="AF20" s="25" t="s">
        <v>33</v>
      </c>
      <c r="AG20" s="25" t="s">
        <v>29</v>
      </c>
      <c r="AH20" s="25" t="s">
        <v>32</v>
      </c>
      <c r="AI20" s="25" t="s">
        <v>66</v>
      </c>
      <c r="AJ20" s="344" t="s">
        <v>41</v>
      </c>
      <c r="AK20" s="12"/>
      <c r="AL20" s="25" t="s">
        <v>38</v>
      </c>
      <c r="AM20" s="25" t="s">
        <v>39</v>
      </c>
      <c r="AN20" s="25" t="s">
        <v>14</v>
      </c>
      <c r="AO20" s="25" t="s">
        <v>30</v>
      </c>
      <c r="AP20" s="25" t="s">
        <v>32</v>
      </c>
      <c r="AQ20" s="12" t="s">
        <v>12</v>
      </c>
      <c r="AR20" s="25" t="s">
        <v>36</v>
      </c>
      <c r="AS20" s="344" t="s">
        <v>40</v>
      </c>
      <c r="AT20" s="358">
        <f t="shared" si="0"/>
        <v>6</v>
      </c>
      <c r="AU20" s="358">
        <f t="shared" si="1"/>
        <v>5</v>
      </c>
      <c r="AV20" s="358">
        <f t="shared" si="2"/>
        <v>5</v>
      </c>
      <c r="AW20" s="358">
        <f t="shared" si="3"/>
        <v>2</v>
      </c>
      <c r="AX20" s="358">
        <f t="shared" si="4"/>
        <v>2</v>
      </c>
      <c r="AY20" s="358">
        <f t="shared" si="5"/>
        <v>3</v>
      </c>
      <c r="AZ20" s="358">
        <f t="shared" si="6"/>
        <v>3</v>
      </c>
      <c r="BA20" s="358">
        <f t="shared" si="7"/>
        <v>3</v>
      </c>
      <c r="BB20" s="358">
        <f t="shared" si="8"/>
        <v>1</v>
      </c>
      <c r="BC20" s="358">
        <f t="shared" si="9"/>
        <v>1</v>
      </c>
      <c r="BD20" s="358">
        <f t="shared" si="10"/>
        <v>1</v>
      </c>
      <c r="BE20" s="358">
        <f t="shared" si="11"/>
        <v>1</v>
      </c>
      <c r="BF20" s="358">
        <f t="shared" si="12"/>
        <v>1</v>
      </c>
      <c r="BG20" s="358">
        <f t="shared" si="13"/>
        <v>1</v>
      </c>
      <c r="BH20" s="358">
        <f t="shared" si="14"/>
        <v>1</v>
      </c>
      <c r="BI20" s="358">
        <f t="shared" si="15"/>
        <v>0</v>
      </c>
    </row>
    <row r="21" s="26" customFormat="1" ht="47.1" customHeight="1" spans="1:61">
      <c r="A21" s="343" t="s">
        <v>68</v>
      </c>
      <c r="B21" s="25" t="s">
        <v>12</v>
      </c>
      <c r="C21" s="25" t="s">
        <v>32</v>
      </c>
      <c r="D21" s="25" t="s">
        <v>35</v>
      </c>
      <c r="E21" s="25" t="s">
        <v>36</v>
      </c>
      <c r="F21" s="25" t="s">
        <v>14</v>
      </c>
      <c r="G21" s="25" t="s">
        <v>29</v>
      </c>
      <c r="H21" s="12" t="s">
        <v>33</v>
      </c>
      <c r="I21" s="344" t="s">
        <v>34</v>
      </c>
      <c r="J21" s="12"/>
      <c r="K21" s="25" t="s">
        <v>32</v>
      </c>
      <c r="L21" s="25" t="s">
        <v>69</v>
      </c>
      <c r="M21" s="25" t="s">
        <v>29</v>
      </c>
      <c r="N21" s="25" t="s">
        <v>12</v>
      </c>
      <c r="O21" s="25" t="s">
        <v>12</v>
      </c>
      <c r="P21" s="25" t="s">
        <v>38</v>
      </c>
      <c r="Q21" s="25" t="s">
        <v>14</v>
      </c>
      <c r="R21" s="344" t="s">
        <v>37</v>
      </c>
      <c r="S21" s="37"/>
      <c r="T21" s="25" t="s">
        <v>43</v>
      </c>
      <c r="U21" s="25" t="s">
        <v>36</v>
      </c>
      <c r="V21" s="25" t="s">
        <v>12</v>
      </c>
      <c r="W21" s="25" t="s">
        <v>14</v>
      </c>
      <c r="X21" s="25" t="s">
        <v>26</v>
      </c>
      <c r="Y21" s="25" t="s">
        <v>35</v>
      </c>
      <c r="Z21" s="25" t="s">
        <v>30</v>
      </c>
      <c r="AA21" s="25" t="s">
        <v>32</v>
      </c>
      <c r="AB21" s="37"/>
      <c r="AC21" s="25" t="s">
        <v>12</v>
      </c>
      <c r="AD21" s="25" t="s">
        <v>14</v>
      </c>
      <c r="AE21" s="25" t="s">
        <v>30</v>
      </c>
      <c r="AF21" s="25" t="s">
        <v>32</v>
      </c>
      <c r="AG21" s="25" t="s">
        <v>69</v>
      </c>
      <c r="AH21" s="25" t="s">
        <v>31</v>
      </c>
      <c r="AI21" s="25" t="s">
        <v>33</v>
      </c>
      <c r="AJ21" s="344" t="s">
        <v>41</v>
      </c>
      <c r="AK21" s="37"/>
      <c r="AL21" s="25" t="s">
        <v>14</v>
      </c>
      <c r="AM21" s="25" t="s">
        <v>32</v>
      </c>
      <c r="AN21" s="25" t="s">
        <v>39</v>
      </c>
      <c r="AO21" s="25" t="s">
        <v>29</v>
      </c>
      <c r="AP21" s="25" t="s">
        <v>30</v>
      </c>
      <c r="AQ21" s="25" t="s">
        <v>33</v>
      </c>
      <c r="AR21" s="25" t="s">
        <v>12</v>
      </c>
      <c r="AS21" s="344" t="s">
        <v>40</v>
      </c>
      <c r="AT21" s="358">
        <f t="shared" si="0"/>
        <v>6</v>
      </c>
      <c r="AU21" s="358">
        <f t="shared" si="1"/>
        <v>5</v>
      </c>
      <c r="AV21" s="358">
        <f t="shared" si="2"/>
        <v>5</v>
      </c>
      <c r="AW21" s="358">
        <f t="shared" si="3"/>
        <v>2</v>
      </c>
      <c r="AX21" s="358">
        <f t="shared" si="4"/>
        <v>2</v>
      </c>
      <c r="AY21" s="358">
        <f t="shared" si="5"/>
        <v>3</v>
      </c>
      <c r="AZ21" s="358">
        <f t="shared" si="6"/>
        <v>3</v>
      </c>
      <c r="BA21" s="358">
        <f t="shared" si="7"/>
        <v>3</v>
      </c>
      <c r="BB21" s="358">
        <f t="shared" si="8"/>
        <v>1</v>
      </c>
      <c r="BC21" s="358">
        <f t="shared" si="9"/>
        <v>1</v>
      </c>
      <c r="BD21" s="358">
        <f t="shared" si="10"/>
        <v>1</v>
      </c>
      <c r="BE21" s="358">
        <f t="shared" si="11"/>
        <v>1</v>
      </c>
      <c r="BF21" s="358">
        <f t="shared" si="12"/>
        <v>1</v>
      </c>
      <c r="BG21" s="358">
        <f t="shared" si="13"/>
        <v>1</v>
      </c>
      <c r="BH21" s="358">
        <f t="shared" si="14"/>
        <v>1</v>
      </c>
      <c r="BI21" s="358">
        <f t="shared" si="15"/>
        <v>0</v>
      </c>
    </row>
    <row r="22" s="26" customFormat="1" ht="47.1" customHeight="1" spans="1:61">
      <c r="A22" s="343" t="s">
        <v>70</v>
      </c>
      <c r="B22" s="25" t="s">
        <v>31</v>
      </c>
      <c r="C22" s="25" t="s">
        <v>14</v>
      </c>
      <c r="D22" s="25" t="s">
        <v>12</v>
      </c>
      <c r="E22" s="25" t="s">
        <v>33</v>
      </c>
      <c r="F22" s="12" t="s">
        <v>32</v>
      </c>
      <c r="G22" s="25" t="s">
        <v>30</v>
      </c>
      <c r="H22" s="25" t="s">
        <v>38</v>
      </c>
      <c r="I22" s="344" t="s">
        <v>34</v>
      </c>
      <c r="J22" s="37"/>
      <c r="K22" s="25" t="s">
        <v>12</v>
      </c>
      <c r="L22" s="25" t="s">
        <v>12</v>
      </c>
      <c r="M22" s="25" t="s">
        <v>35</v>
      </c>
      <c r="N22" s="25" t="s">
        <v>32</v>
      </c>
      <c r="O22" s="25" t="s">
        <v>69</v>
      </c>
      <c r="P22" s="25" t="s">
        <v>14</v>
      </c>
      <c r="Q22" s="25" t="s">
        <v>36</v>
      </c>
      <c r="R22" s="344" t="s">
        <v>37</v>
      </c>
      <c r="S22" s="12"/>
      <c r="T22" s="25" t="s">
        <v>14</v>
      </c>
      <c r="U22" s="25" t="s">
        <v>26</v>
      </c>
      <c r="V22" s="25" t="s">
        <v>29</v>
      </c>
      <c r="W22" s="25" t="s">
        <v>30</v>
      </c>
      <c r="X22" s="25" t="s">
        <v>12</v>
      </c>
      <c r="Y22" s="25" t="s">
        <v>33</v>
      </c>
      <c r="Z22" s="25" t="s">
        <v>32</v>
      </c>
      <c r="AA22" s="25" t="s">
        <v>43</v>
      </c>
      <c r="AB22" s="37"/>
      <c r="AC22" s="25" t="s">
        <v>32</v>
      </c>
      <c r="AD22" s="25" t="s">
        <v>69</v>
      </c>
      <c r="AE22" s="25" t="s">
        <v>12</v>
      </c>
      <c r="AF22" s="25" t="s">
        <v>29</v>
      </c>
      <c r="AG22" s="25" t="s">
        <v>14</v>
      </c>
      <c r="AH22" s="25" t="s">
        <v>30</v>
      </c>
      <c r="AI22" s="25" t="s">
        <v>39</v>
      </c>
      <c r="AJ22" s="344" t="s">
        <v>41</v>
      </c>
      <c r="AK22" s="25"/>
      <c r="AL22" s="25" t="s">
        <v>29</v>
      </c>
      <c r="AM22" s="25" t="s">
        <v>35</v>
      </c>
      <c r="AN22" s="25" t="s">
        <v>33</v>
      </c>
      <c r="AO22" s="25" t="s">
        <v>14</v>
      </c>
      <c r="AP22" s="25" t="s">
        <v>32</v>
      </c>
      <c r="AQ22" s="25" t="s">
        <v>12</v>
      </c>
      <c r="AR22" s="25" t="s">
        <v>36</v>
      </c>
      <c r="AS22" s="344" t="s">
        <v>40</v>
      </c>
      <c r="AT22" s="358">
        <f t="shared" si="0"/>
        <v>6</v>
      </c>
      <c r="AU22" s="358">
        <f t="shared" si="1"/>
        <v>5</v>
      </c>
      <c r="AV22" s="358">
        <f t="shared" si="2"/>
        <v>5</v>
      </c>
      <c r="AW22" s="358">
        <f t="shared" si="3"/>
        <v>2</v>
      </c>
      <c r="AX22" s="358">
        <f t="shared" si="4"/>
        <v>2</v>
      </c>
      <c r="AY22" s="358">
        <f t="shared" si="5"/>
        <v>3</v>
      </c>
      <c r="AZ22" s="358">
        <f t="shared" si="6"/>
        <v>3</v>
      </c>
      <c r="BA22" s="358">
        <f t="shared" si="7"/>
        <v>3</v>
      </c>
      <c r="BB22" s="358">
        <f t="shared" si="8"/>
        <v>1</v>
      </c>
      <c r="BC22" s="358">
        <f t="shared" si="9"/>
        <v>1</v>
      </c>
      <c r="BD22" s="358">
        <f t="shared" si="10"/>
        <v>1</v>
      </c>
      <c r="BE22" s="358">
        <f t="shared" si="11"/>
        <v>1</v>
      </c>
      <c r="BF22" s="358">
        <f t="shared" si="12"/>
        <v>1</v>
      </c>
      <c r="BG22" s="358">
        <f t="shared" si="13"/>
        <v>1</v>
      </c>
      <c r="BH22" s="358">
        <f t="shared" si="14"/>
        <v>1</v>
      </c>
      <c r="BI22" s="358">
        <f t="shared" si="15"/>
        <v>0</v>
      </c>
    </row>
    <row r="23" s="7" customFormat="1" ht="47.1" customHeight="1" spans="1:61">
      <c r="A23" s="343" t="s">
        <v>71</v>
      </c>
      <c r="B23" s="25" t="s">
        <v>14</v>
      </c>
      <c r="C23" s="25" t="s">
        <v>32</v>
      </c>
      <c r="D23" s="25" t="s">
        <v>30</v>
      </c>
      <c r="E23" s="25" t="s">
        <v>29</v>
      </c>
      <c r="F23" s="25" t="s">
        <v>12</v>
      </c>
      <c r="G23" s="25" t="s">
        <v>33</v>
      </c>
      <c r="H23" s="25" t="s">
        <v>43</v>
      </c>
      <c r="I23" s="344" t="s">
        <v>34</v>
      </c>
      <c r="J23" s="37"/>
      <c r="K23" s="25" t="s">
        <v>29</v>
      </c>
      <c r="L23" s="25" t="s">
        <v>12</v>
      </c>
      <c r="M23" s="25" t="s">
        <v>12</v>
      </c>
      <c r="N23" s="25" t="s">
        <v>35</v>
      </c>
      <c r="O23" s="25" t="s">
        <v>14</v>
      </c>
      <c r="P23" s="25" t="s">
        <v>32</v>
      </c>
      <c r="Q23" s="25" t="s">
        <v>72</v>
      </c>
      <c r="R23" s="344" t="s">
        <v>37</v>
      </c>
      <c r="S23" s="12"/>
      <c r="T23" s="25" t="s">
        <v>29</v>
      </c>
      <c r="U23" s="25" t="s">
        <v>12</v>
      </c>
      <c r="V23" s="25" t="s">
        <v>36</v>
      </c>
      <c r="W23" s="25" t="s">
        <v>14</v>
      </c>
      <c r="X23" s="25" t="s">
        <v>26</v>
      </c>
      <c r="Y23" s="25" t="s">
        <v>32</v>
      </c>
      <c r="Z23" s="25" t="s">
        <v>33</v>
      </c>
      <c r="AA23" s="25" t="s">
        <v>39</v>
      </c>
      <c r="AB23" s="12"/>
      <c r="AC23" s="25" t="s">
        <v>32</v>
      </c>
      <c r="AD23" s="25" t="s">
        <v>35</v>
      </c>
      <c r="AE23" s="25" t="s">
        <v>38</v>
      </c>
      <c r="AF23" s="25" t="s">
        <v>12</v>
      </c>
      <c r="AG23" s="25" t="s">
        <v>14</v>
      </c>
      <c r="AH23" s="25" t="s">
        <v>36</v>
      </c>
      <c r="AI23" s="25" t="s">
        <v>30</v>
      </c>
      <c r="AJ23" s="344" t="s">
        <v>41</v>
      </c>
      <c r="AK23" s="12"/>
      <c r="AL23" s="25" t="s">
        <v>31</v>
      </c>
      <c r="AM23" s="25" t="s">
        <v>33</v>
      </c>
      <c r="AN23" s="25" t="s">
        <v>14</v>
      </c>
      <c r="AO23" s="25" t="s">
        <v>72</v>
      </c>
      <c r="AP23" s="25" t="s">
        <v>32</v>
      </c>
      <c r="AQ23" s="25" t="s">
        <v>30</v>
      </c>
      <c r="AR23" s="25" t="s">
        <v>12</v>
      </c>
      <c r="AS23" s="344" t="s">
        <v>40</v>
      </c>
      <c r="AT23" s="358">
        <f t="shared" si="0"/>
        <v>6</v>
      </c>
      <c r="AU23" s="358">
        <f t="shared" si="1"/>
        <v>5</v>
      </c>
      <c r="AV23" s="358">
        <f t="shared" si="2"/>
        <v>5</v>
      </c>
      <c r="AW23" s="358">
        <f t="shared" si="3"/>
        <v>2</v>
      </c>
      <c r="AX23" s="358">
        <f t="shared" si="4"/>
        <v>2</v>
      </c>
      <c r="AY23" s="358">
        <f t="shared" si="5"/>
        <v>3</v>
      </c>
      <c r="AZ23" s="358">
        <f t="shared" si="6"/>
        <v>3</v>
      </c>
      <c r="BA23" s="358">
        <f t="shared" si="7"/>
        <v>3</v>
      </c>
      <c r="BB23" s="358">
        <f t="shared" si="8"/>
        <v>1</v>
      </c>
      <c r="BC23" s="358">
        <f t="shared" si="9"/>
        <v>1</v>
      </c>
      <c r="BD23" s="358">
        <f t="shared" si="10"/>
        <v>1</v>
      </c>
      <c r="BE23" s="358">
        <f t="shared" si="11"/>
        <v>1</v>
      </c>
      <c r="BF23" s="358">
        <f t="shared" si="12"/>
        <v>1</v>
      </c>
      <c r="BG23" s="358">
        <f t="shared" si="13"/>
        <v>1</v>
      </c>
      <c r="BH23" s="358">
        <f t="shared" si="14"/>
        <v>1</v>
      </c>
      <c r="BI23" s="358">
        <f t="shared" si="15"/>
        <v>0</v>
      </c>
    </row>
    <row r="24" s="7" customFormat="1" ht="47.1" customHeight="1" spans="1:61">
      <c r="A24" s="343" t="s">
        <v>73</v>
      </c>
      <c r="B24" s="25" t="s">
        <v>32</v>
      </c>
      <c r="C24" s="25" t="s">
        <v>36</v>
      </c>
      <c r="D24" s="25" t="s">
        <v>14</v>
      </c>
      <c r="E24" s="25" t="s">
        <v>12</v>
      </c>
      <c r="F24" s="25" t="s">
        <v>29</v>
      </c>
      <c r="G24" s="25" t="s">
        <v>35</v>
      </c>
      <c r="H24" s="25" t="s">
        <v>33</v>
      </c>
      <c r="I24" s="344" t="s">
        <v>34</v>
      </c>
      <c r="J24" s="12"/>
      <c r="K24" s="25" t="s">
        <v>35</v>
      </c>
      <c r="L24" s="25" t="s">
        <v>72</v>
      </c>
      <c r="M24" s="25" t="s">
        <v>32</v>
      </c>
      <c r="N24" s="25" t="s">
        <v>14</v>
      </c>
      <c r="O24" s="25" t="s">
        <v>36</v>
      </c>
      <c r="P24" s="25" t="s">
        <v>12</v>
      </c>
      <c r="Q24" s="25" t="s">
        <v>12</v>
      </c>
      <c r="R24" s="344" t="s">
        <v>37</v>
      </c>
      <c r="S24" s="12"/>
      <c r="T24" s="25" t="s">
        <v>26</v>
      </c>
      <c r="U24" s="25" t="s">
        <v>14</v>
      </c>
      <c r="V24" s="25" t="s">
        <v>12</v>
      </c>
      <c r="W24" s="25" t="s">
        <v>38</v>
      </c>
      <c r="X24" s="25" t="s">
        <v>30</v>
      </c>
      <c r="Y24" s="12" t="s">
        <v>43</v>
      </c>
      <c r="Z24" s="25" t="s">
        <v>32</v>
      </c>
      <c r="AA24" s="25" t="s">
        <v>31</v>
      </c>
      <c r="AB24" s="12"/>
      <c r="AC24" s="25" t="s">
        <v>12</v>
      </c>
      <c r="AD24" s="25" t="s">
        <v>30</v>
      </c>
      <c r="AE24" s="25" t="s">
        <v>14</v>
      </c>
      <c r="AF24" s="25" t="s">
        <v>32</v>
      </c>
      <c r="AG24" s="25" t="s">
        <v>39</v>
      </c>
      <c r="AH24" s="25" t="s">
        <v>33</v>
      </c>
      <c r="AI24" s="25" t="s">
        <v>29</v>
      </c>
      <c r="AJ24" s="344" t="s">
        <v>41</v>
      </c>
      <c r="AK24" s="12"/>
      <c r="AL24" s="25" t="s">
        <v>32</v>
      </c>
      <c r="AM24" s="25" t="s">
        <v>72</v>
      </c>
      <c r="AN24" s="25" t="s">
        <v>29</v>
      </c>
      <c r="AO24" s="25" t="s">
        <v>33</v>
      </c>
      <c r="AP24" s="25" t="s">
        <v>14</v>
      </c>
      <c r="AQ24" s="25" t="s">
        <v>12</v>
      </c>
      <c r="AR24" s="25" t="s">
        <v>30</v>
      </c>
      <c r="AS24" s="344" t="s">
        <v>40</v>
      </c>
      <c r="AT24" s="358">
        <f t="shared" si="0"/>
        <v>6</v>
      </c>
      <c r="AU24" s="358">
        <f t="shared" si="1"/>
        <v>5</v>
      </c>
      <c r="AV24" s="358">
        <f t="shared" si="2"/>
        <v>5</v>
      </c>
      <c r="AW24" s="358">
        <f t="shared" si="3"/>
        <v>2</v>
      </c>
      <c r="AX24" s="358">
        <f t="shared" si="4"/>
        <v>2</v>
      </c>
      <c r="AY24" s="358">
        <f t="shared" si="5"/>
        <v>3</v>
      </c>
      <c r="AZ24" s="358">
        <f t="shared" si="6"/>
        <v>3</v>
      </c>
      <c r="BA24" s="358">
        <f t="shared" si="7"/>
        <v>3</v>
      </c>
      <c r="BB24" s="358">
        <f t="shared" si="8"/>
        <v>1</v>
      </c>
      <c r="BC24" s="358">
        <f t="shared" si="9"/>
        <v>1</v>
      </c>
      <c r="BD24" s="358">
        <f t="shared" si="10"/>
        <v>1</v>
      </c>
      <c r="BE24" s="358">
        <f t="shared" si="11"/>
        <v>1</v>
      </c>
      <c r="BF24" s="358">
        <f t="shared" si="12"/>
        <v>1</v>
      </c>
      <c r="BG24" s="358">
        <f t="shared" si="13"/>
        <v>1</v>
      </c>
      <c r="BH24" s="358">
        <f t="shared" si="14"/>
        <v>1</v>
      </c>
      <c r="BI24" s="358">
        <f t="shared" si="15"/>
        <v>0</v>
      </c>
    </row>
    <row r="25" s="7" customFormat="1" ht="47.1" customHeight="1" spans="1:61">
      <c r="A25" s="343" t="s">
        <v>74</v>
      </c>
      <c r="B25" s="25" t="s">
        <v>33</v>
      </c>
      <c r="C25" s="25" t="s">
        <v>14</v>
      </c>
      <c r="D25" s="25" t="s">
        <v>43</v>
      </c>
      <c r="E25" s="25" t="s">
        <v>12</v>
      </c>
      <c r="F25" s="25" t="s">
        <v>32</v>
      </c>
      <c r="G25" s="25" t="s">
        <v>38</v>
      </c>
      <c r="H25" s="25" t="s">
        <v>30</v>
      </c>
      <c r="I25" s="344" t="s">
        <v>34</v>
      </c>
      <c r="J25" s="37"/>
      <c r="K25" s="25" t="s">
        <v>32</v>
      </c>
      <c r="L25" s="25" t="s">
        <v>75</v>
      </c>
      <c r="M25" s="25" t="s">
        <v>29</v>
      </c>
      <c r="N25" s="25" t="s">
        <v>33</v>
      </c>
      <c r="O25" s="25" t="s">
        <v>14</v>
      </c>
      <c r="P25" s="25" t="s">
        <v>12</v>
      </c>
      <c r="Q25" s="25" t="s">
        <v>12</v>
      </c>
      <c r="R25" s="344" t="s">
        <v>37</v>
      </c>
      <c r="S25" s="12"/>
      <c r="T25" s="12" t="s">
        <v>39</v>
      </c>
      <c r="U25" s="25" t="s">
        <v>36</v>
      </c>
      <c r="V25" s="25" t="s">
        <v>12</v>
      </c>
      <c r="W25" s="25" t="s">
        <v>14</v>
      </c>
      <c r="X25" s="25" t="s">
        <v>26</v>
      </c>
      <c r="Y25" s="25" t="s">
        <v>35</v>
      </c>
      <c r="Z25" s="25" t="s">
        <v>32</v>
      </c>
      <c r="AA25" s="25" t="s">
        <v>30</v>
      </c>
      <c r="AB25" s="37"/>
      <c r="AC25" s="25" t="s">
        <v>29</v>
      </c>
      <c r="AD25" s="25" t="s">
        <v>12</v>
      </c>
      <c r="AE25" s="25" t="s">
        <v>32</v>
      </c>
      <c r="AF25" s="25" t="s">
        <v>75</v>
      </c>
      <c r="AG25" s="344" t="s">
        <v>40</v>
      </c>
      <c r="AH25" s="25" t="s">
        <v>14</v>
      </c>
      <c r="AI25" s="25" t="s">
        <v>33</v>
      </c>
      <c r="AJ25" s="344" t="s">
        <v>41</v>
      </c>
      <c r="AK25" s="37"/>
      <c r="AL25" s="25" t="s">
        <v>32</v>
      </c>
      <c r="AM25" s="25" t="s">
        <v>14</v>
      </c>
      <c r="AN25" s="25" t="s">
        <v>30</v>
      </c>
      <c r="AO25" s="25" t="s">
        <v>29</v>
      </c>
      <c r="AP25" s="25" t="s">
        <v>35</v>
      </c>
      <c r="AQ25" s="25" t="s">
        <v>36</v>
      </c>
      <c r="AR25" s="25" t="s">
        <v>31</v>
      </c>
      <c r="AS25" s="25" t="s">
        <v>12</v>
      </c>
      <c r="AT25" s="358">
        <f t="shared" si="0"/>
        <v>6</v>
      </c>
      <c r="AU25" s="358">
        <f t="shared" si="1"/>
        <v>5</v>
      </c>
      <c r="AV25" s="358">
        <f t="shared" si="2"/>
        <v>5</v>
      </c>
      <c r="AW25" s="358">
        <f t="shared" si="3"/>
        <v>2</v>
      </c>
      <c r="AX25" s="358">
        <f t="shared" si="4"/>
        <v>2</v>
      </c>
      <c r="AY25" s="358">
        <f t="shared" si="5"/>
        <v>3</v>
      </c>
      <c r="AZ25" s="358">
        <f t="shared" si="6"/>
        <v>3</v>
      </c>
      <c r="BA25" s="358">
        <f t="shared" si="7"/>
        <v>3</v>
      </c>
      <c r="BB25" s="358">
        <f t="shared" si="8"/>
        <v>1</v>
      </c>
      <c r="BC25" s="358">
        <f t="shared" si="9"/>
        <v>1</v>
      </c>
      <c r="BD25" s="358">
        <f t="shared" si="10"/>
        <v>1</v>
      </c>
      <c r="BE25" s="358">
        <f t="shared" si="11"/>
        <v>1</v>
      </c>
      <c r="BF25" s="358">
        <f t="shared" si="12"/>
        <v>1</v>
      </c>
      <c r="BG25" s="358">
        <f t="shared" si="13"/>
        <v>1</v>
      </c>
      <c r="BH25" s="358">
        <f t="shared" si="14"/>
        <v>1</v>
      </c>
      <c r="BI25" s="358">
        <f t="shared" si="15"/>
        <v>0</v>
      </c>
    </row>
    <row r="26" s="7" customFormat="1" ht="47.1" customHeight="1" spans="1:61">
      <c r="A26" s="343" t="s">
        <v>76</v>
      </c>
      <c r="B26" s="25" t="s">
        <v>14</v>
      </c>
      <c r="C26" s="25" t="s">
        <v>32</v>
      </c>
      <c r="D26" s="25" t="s">
        <v>29</v>
      </c>
      <c r="E26" s="25" t="s">
        <v>30</v>
      </c>
      <c r="F26" s="25" t="s">
        <v>31</v>
      </c>
      <c r="G26" s="25" t="s">
        <v>12</v>
      </c>
      <c r="H26" s="25" t="s">
        <v>39</v>
      </c>
      <c r="I26" s="344" t="s">
        <v>34</v>
      </c>
      <c r="J26" s="37"/>
      <c r="K26" s="25" t="s">
        <v>12</v>
      </c>
      <c r="L26" s="25" t="s">
        <v>12</v>
      </c>
      <c r="M26" s="25" t="s">
        <v>35</v>
      </c>
      <c r="N26" s="25" t="s">
        <v>14</v>
      </c>
      <c r="O26" s="25" t="s">
        <v>33</v>
      </c>
      <c r="P26" s="25" t="s">
        <v>32</v>
      </c>
      <c r="Q26" s="25" t="s">
        <v>75</v>
      </c>
      <c r="R26" s="344" t="s">
        <v>37</v>
      </c>
      <c r="S26" s="12"/>
      <c r="T26" s="25" t="s">
        <v>26</v>
      </c>
      <c r="U26" s="25" t="s">
        <v>14</v>
      </c>
      <c r="V26" s="25" t="s">
        <v>30</v>
      </c>
      <c r="W26" s="25" t="s">
        <v>12</v>
      </c>
      <c r="X26" s="12" t="s">
        <v>36</v>
      </c>
      <c r="Y26" s="25" t="s">
        <v>33</v>
      </c>
      <c r="Z26" s="25" t="s">
        <v>29</v>
      </c>
      <c r="AA26" s="25" t="s">
        <v>32</v>
      </c>
      <c r="AB26" s="12"/>
      <c r="AC26" s="25" t="s">
        <v>12</v>
      </c>
      <c r="AD26" s="25" t="s">
        <v>43</v>
      </c>
      <c r="AE26" s="25" t="s">
        <v>14</v>
      </c>
      <c r="AF26" s="25" t="s">
        <v>29</v>
      </c>
      <c r="AG26" s="344" t="s">
        <v>40</v>
      </c>
      <c r="AH26" s="25" t="s">
        <v>32</v>
      </c>
      <c r="AI26" s="25" t="s">
        <v>75</v>
      </c>
      <c r="AJ26" s="344" t="s">
        <v>41</v>
      </c>
      <c r="AK26" s="37"/>
      <c r="AL26" s="25" t="s">
        <v>33</v>
      </c>
      <c r="AM26" s="25" t="s">
        <v>38</v>
      </c>
      <c r="AN26" s="25" t="s">
        <v>32</v>
      </c>
      <c r="AO26" s="25" t="s">
        <v>35</v>
      </c>
      <c r="AP26" s="25" t="s">
        <v>14</v>
      </c>
      <c r="AQ26" s="25" t="s">
        <v>12</v>
      </c>
      <c r="AR26" s="25" t="s">
        <v>30</v>
      </c>
      <c r="AS26" s="25" t="s">
        <v>36</v>
      </c>
      <c r="AT26" s="358">
        <f t="shared" si="0"/>
        <v>6</v>
      </c>
      <c r="AU26" s="358">
        <f t="shared" si="1"/>
        <v>5</v>
      </c>
      <c r="AV26" s="358">
        <f t="shared" si="2"/>
        <v>5</v>
      </c>
      <c r="AW26" s="358">
        <f t="shared" si="3"/>
        <v>2</v>
      </c>
      <c r="AX26" s="358">
        <f t="shared" si="4"/>
        <v>2</v>
      </c>
      <c r="AY26" s="358">
        <f t="shared" si="5"/>
        <v>3</v>
      </c>
      <c r="AZ26" s="358">
        <f t="shared" si="6"/>
        <v>3</v>
      </c>
      <c r="BA26" s="358">
        <f t="shared" si="7"/>
        <v>3</v>
      </c>
      <c r="BB26" s="358">
        <f t="shared" si="8"/>
        <v>1</v>
      </c>
      <c r="BC26" s="358">
        <f t="shared" si="9"/>
        <v>1</v>
      </c>
      <c r="BD26" s="358">
        <f t="shared" si="10"/>
        <v>1</v>
      </c>
      <c r="BE26" s="358">
        <f t="shared" si="11"/>
        <v>1</v>
      </c>
      <c r="BF26" s="358">
        <f t="shared" si="12"/>
        <v>1</v>
      </c>
      <c r="BG26" s="358">
        <f t="shared" si="13"/>
        <v>1</v>
      </c>
      <c r="BH26" s="358">
        <f t="shared" si="14"/>
        <v>1</v>
      </c>
      <c r="BI26" s="358">
        <f t="shared" si="15"/>
        <v>0</v>
      </c>
    </row>
    <row r="27" s="7" customFormat="1" ht="47.1" customHeight="1" spans="1:61">
      <c r="A27" s="343" t="s">
        <v>77</v>
      </c>
      <c r="B27" s="25" t="s">
        <v>14</v>
      </c>
      <c r="C27" s="25" t="s">
        <v>29</v>
      </c>
      <c r="D27" s="25" t="s">
        <v>32</v>
      </c>
      <c r="E27" s="25" t="s">
        <v>12</v>
      </c>
      <c r="F27" s="25" t="s">
        <v>30</v>
      </c>
      <c r="G27" s="25" t="s">
        <v>33</v>
      </c>
      <c r="H27" s="25" t="s">
        <v>35</v>
      </c>
      <c r="I27" s="344" t="s">
        <v>34</v>
      </c>
      <c r="J27" s="12"/>
      <c r="K27" s="25" t="s">
        <v>32</v>
      </c>
      <c r="L27" s="25" t="s">
        <v>78</v>
      </c>
      <c r="M27" s="25" t="s">
        <v>14</v>
      </c>
      <c r="N27" s="25" t="s">
        <v>33</v>
      </c>
      <c r="O27" s="25" t="s">
        <v>29</v>
      </c>
      <c r="P27" s="25" t="s">
        <v>12</v>
      </c>
      <c r="Q27" s="25" t="s">
        <v>12</v>
      </c>
      <c r="R27" s="344" t="s">
        <v>37</v>
      </c>
      <c r="S27" s="12"/>
      <c r="T27" s="25" t="s">
        <v>36</v>
      </c>
      <c r="U27" s="25" t="s">
        <v>30</v>
      </c>
      <c r="V27" s="25" t="s">
        <v>12</v>
      </c>
      <c r="W27" s="25" t="s">
        <v>14</v>
      </c>
      <c r="X27" s="25" t="s">
        <v>26</v>
      </c>
      <c r="Y27" s="25" t="s">
        <v>32</v>
      </c>
      <c r="Z27" s="25" t="s">
        <v>38</v>
      </c>
      <c r="AA27" s="25" t="s">
        <v>35</v>
      </c>
      <c r="AB27" s="12"/>
      <c r="AC27" s="25" t="s">
        <v>29</v>
      </c>
      <c r="AD27" s="25" t="s">
        <v>14</v>
      </c>
      <c r="AE27" s="25" t="s">
        <v>43</v>
      </c>
      <c r="AF27" s="25" t="s">
        <v>12</v>
      </c>
      <c r="AG27" s="344" t="s">
        <v>40</v>
      </c>
      <c r="AH27" s="25" t="s">
        <v>32</v>
      </c>
      <c r="AI27" s="12" t="s">
        <v>30</v>
      </c>
      <c r="AJ27" s="344" t="s">
        <v>41</v>
      </c>
      <c r="AK27" s="12"/>
      <c r="AL27" s="25" t="s">
        <v>39</v>
      </c>
      <c r="AM27" s="25" t="s">
        <v>14</v>
      </c>
      <c r="AN27" s="25" t="s">
        <v>33</v>
      </c>
      <c r="AO27" s="25" t="s">
        <v>32</v>
      </c>
      <c r="AP27" s="25" t="s">
        <v>78</v>
      </c>
      <c r="AQ27" s="25" t="s">
        <v>36</v>
      </c>
      <c r="AR27" s="25" t="s">
        <v>12</v>
      </c>
      <c r="AS27" s="25" t="s">
        <v>31</v>
      </c>
      <c r="AT27" s="358">
        <f t="shared" si="0"/>
        <v>6</v>
      </c>
      <c r="AU27" s="358">
        <f t="shared" si="1"/>
        <v>5</v>
      </c>
      <c r="AV27" s="358">
        <f t="shared" si="2"/>
        <v>5</v>
      </c>
      <c r="AW27" s="358">
        <f t="shared" si="3"/>
        <v>2</v>
      </c>
      <c r="AX27" s="358">
        <f t="shared" si="4"/>
        <v>2</v>
      </c>
      <c r="AY27" s="358">
        <f t="shared" si="5"/>
        <v>3</v>
      </c>
      <c r="AZ27" s="358">
        <f t="shared" si="6"/>
        <v>3</v>
      </c>
      <c r="BA27" s="358">
        <f t="shared" si="7"/>
        <v>3</v>
      </c>
      <c r="BB27" s="358">
        <f t="shared" si="8"/>
        <v>1</v>
      </c>
      <c r="BC27" s="358">
        <f t="shared" si="9"/>
        <v>1</v>
      </c>
      <c r="BD27" s="358">
        <f t="shared" si="10"/>
        <v>1</v>
      </c>
      <c r="BE27" s="358">
        <f t="shared" si="11"/>
        <v>1</v>
      </c>
      <c r="BF27" s="358">
        <f t="shared" si="12"/>
        <v>1</v>
      </c>
      <c r="BG27" s="358">
        <f t="shared" si="13"/>
        <v>1</v>
      </c>
      <c r="BH27" s="358">
        <f t="shared" si="14"/>
        <v>1</v>
      </c>
      <c r="BI27" s="358">
        <f t="shared" si="15"/>
        <v>0</v>
      </c>
    </row>
    <row r="28" s="7" customFormat="1" ht="47.1" customHeight="1" spans="1:61">
      <c r="A28" s="343" t="s">
        <v>79</v>
      </c>
      <c r="B28" s="25" t="s">
        <v>35</v>
      </c>
      <c r="C28" s="25" t="s">
        <v>14</v>
      </c>
      <c r="D28" s="25" t="s">
        <v>33</v>
      </c>
      <c r="E28" s="25" t="s">
        <v>36</v>
      </c>
      <c r="F28" s="25" t="s">
        <v>12</v>
      </c>
      <c r="G28" s="25" t="s">
        <v>29</v>
      </c>
      <c r="H28" s="25" t="s">
        <v>32</v>
      </c>
      <c r="I28" s="344" t="s">
        <v>34</v>
      </c>
      <c r="J28" s="12"/>
      <c r="K28" s="25" t="s">
        <v>31</v>
      </c>
      <c r="L28" s="25" t="s">
        <v>12</v>
      </c>
      <c r="M28" s="25" t="s">
        <v>12</v>
      </c>
      <c r="N28" s="25" t="s">
        <v>32</v>
      </c>
      <c r="O28" s="25" t="s">
        <v>78</v>
      </c>
      <c r="P28" s="25" t="s">
        <v>30</v>
      </c>
      <c r="Q28" s="25" t="s">
        <v>14</v>
      </c>
      <c r="R28" s="344" t="s">
        <v>37</v>
      </c>
      <c r="S28" s="12"/>
      <c r="T28" s="25" t="s">
        <v>14</v>
      </c>
      <c r="U28" s="25" t="s">
        <v>26</v>
      </c>
      <c r="V28" s="25" t="s">
        <v>39</v>
      </c>
      <c r="W28" s="25" t="s">
        <v>29</v>
      </c>
      <c r="X28" s="25" t="s">
        <v>12</v>
      </c>
      <c r="Y28" s="12" t="s">
        <v>33</v>
      </c>
      <c r="Z28" s="25" t="s">
        <v>35</v>
      </c>
      <c r="AA28" s="25" t="s">
        <v>32</v>
      </c>
      <c r="AB28" s="12"/>
      <c r="AC28" s="25" t="s">
        <v>12</v>
      </c>
      <c r="AD28" s="25" t="s">
        <v>30</v>
      </c>
      <c r="AE28" s="25" t="s">
        <v>36</v>
      </c>
      <c r="AF28" s="25" t="s">
        <v>14</v>
      </c>
      <c r="AG28" s="344" t="s">
        <v>40</v>
      </c>
      <c r="AH28" s="25" t="s">
        <v>33</v>
      </c>
      <c r="AI28" s="25" t="s">
        <v>32</v>
      </c>
      <c r="AJ28" s="344" t="s">
        <v>41</v>
      </c>
      <c r="AK28" s="346"/>
      <c r="AL28" s="25" t="s">
        <v>32</v>
      </c>
      <c r="AM28" s="25" t="s">
        <v>78</v>
      </c>
      <c r="AN28" s="25" t="s">
        <v>14</v>
      </c>
      <c r="AO28" s="25" t="s">
        <v>30</v>
      </c>
      <c r="AP28" s="25" t="s">
        <v>38</v>
      </c>
      <c r="AQ28" s="38" t="s">
        <v>43</v>
      </c>
      <c r="AR28" s="25" t="s">
        <v>29</v>
      </c>
      <c r="AS28" s="25" t="s">
        <v>12</v>
      </c>
      <c r="AT28" s="358">
        <f t="shared" si="0"/>
        <v>6</v>
      </c>
      <c r="AU28" s="358">
        <f t="shared" si="1"/>
        <v>5</v>
      </c>
      <c r="AV28" s="358">
        <f t="shared" si="2"/>
        <v>5</v>
      </c>
      <c r="AW28" s="358">
        <f t="shared" si="3"/>
        <v>2</v>
      </c>
      <c r="AX28" s="358">
        <f t="shared" si="4"/>
        <v>2</v>
      </c>
      <c r="AY28" s="358">
        <f t="shared" si="5"/>
        <v>3</v>
      </c>
      <c r="AZ28" s="358">
        <f t="shared" si="6"/>
        <v>3</v>
      </c>
      <c r="BA28" s="358">
        <f t="shared" si="7"/>
        <v>3</v>
      </c>
      <c r="BB28" s="358">
        <f t="shared" si="8"/>
        <v>1</v>
      </c>
      <c r="BC28" s="358">
        <f t="shared" si="9"/>
        <v>1</v>
      </c>
      <c r="BD28" s="358">
        <f t="shared" si="10"/>
        <v>1</v>
      </c>
      <c r="BE28" s="358">
        <f t="shared" si="11"/>
        <v>1</v>
      </c>
      <c r="BF28" s="358">
        <f t="shared" si="12"/>
        <v>1</v>
      </c>
      <c r="BG28" s="358">
        <f t="shared" si="13"/>
        <v>1</v>
      </c>
      <c r="BH28" s="358">
        <f t="shared" si="14"/>
        <v>1</v>
      </c>
      <c r="BI28" s="358">
        <f t="shared" si="15"/>
        <v>0</v>
      </c>
    </row>
    <row r="29" s="7" customFormat="1" ht="47.1" customHeight="1" spans="1:61">
      <c r="A29" s="343" t="s">
        <v>80</v>
      </c>
      <c r="B29" s="25" t="s">
        <v>33</v>
      </c>
      <c r="C29" s="25" t="s">
        <v>12</v>
      </c>
      <c r="D29" s="25" t="s">
        <v>38</v>
      </c>
      <c r="E29" s="25" t="s">
        <v>14</v>
      </c>
      <c r="F29" s="25" t="s">
        <v>36</v>
      </c>
      <c r="G29" s="25" t="s">
        <v>43</v>
      </c>
      <c r="H29" s="25" t="s">
        <v>32</v>
      </c>
      <c r="I29" s="344" t="s">
        <v>34</v>
      </c>
      <c r="J29" s="37"/>
      <c r="K29" s="25" t="s">
        <v>12</v>
      </c>
      <c r="L29" s="25" t="s">
        <v>12</v>
      </c>
      <c r="M29" s="25" t="s">
        <v>29</v>
      </c>
      <c r="N29" s="25" t="s">
        <v>32</v>
      </c>
      <c r="O29" s="25" t="s">
        <v>81</v>
      </c>
      <c r="P29" s="25" t="s">
        <v>14</v>
      </c>
      <c r="Q29" s="25" t="s">
        <v>35</v>
      </c>
      <c r="R29" s="344" t="s">
        <v>37</v>
      </c>
      <c r="S29" s="12"/>
      <c r="T29" s="25" t="s">
        <v>14</v>
      </c>
      <c r="U29" s="25" t="s">
        <v>26</v>
      </c>
      <c r="V29" s="25" t="s">
        <v>12</v>
      </c>
      <c r="W29" s="25" t="s">
        <v>39</v>
      </c>
      <c r="X29" s="25" t="s">
        <v>30</v>
      </c>
      <c r="Y29" s="25" t="s">
        <v>32</v>
      </c>
      <c r="Z29" s="25" t="s">
        <v>36</v>
      </c>
      <c r="AA29" s="25" t="s">
        <v>33</v>
      </c>
      <c r="AB29" s="37"/>
      <c r="AC29" s="25" t="s">
        <v>35</v>
      </c>
      <c r="AD29" s="25" t="s">
        <v>32</v>
      </c>
      <c r="AE29" s="25" t="s">
        <v>30</v>
      </c>
      <c r="AF29" s="25" t="s">
        <v>12</v>
      </c>
      <c r="AG29" s="344" t="s">
        <v>40</v>
      </c>
      <c r="AH29" s="25" t="s">
        <v>14</v>
      </c>
      <c r="AI29" s="12" t="s">
        <v>29</v>
      </c>
      <c r="AJ29" s="344" t="s">
        <v>41</v>
      </c>
      <c r="AK29" s="37"/>
      <c r="AL29" s="25" t="s">
        <v>33</v>
      </c>
      <c r="AM29" s="25" t="s">
        <v>31</v>
      </c>
      <c r="AN29" s="25" t="s">
        <v>14</v>
      </c>
      <c r="AO29" s="25" t="s">
        <v>32</v>
      </c>
      <c r="AP29" s="25" t="s">
        <v>81</v>
      </c>
      <c r="AQ29" s="25" t="s">
        <v>30</v>
      </c>
      <c r="AR29" s="25" t="s">
        <v>12</v>
      </c>
      <c r="AS29" s="25" t="s">
        <v>29</v>
      </c>
      <c r="AT29" s="358">
        <f t="shared" si="0"/>
        <v>6</v>
      </c>
      <c r="AU29" s="358">
        <f t="shared" si="1"/>
        <v>5</v>
      </c>
      <c r="AV29" s="358">
        <f t="shared" si="2"/>
        <v>5</v>
      </c>
      <c r="AW29" s="358">
        <f t="shared" si="3"/>
        <v>2</v>
      </c>
      <c r="AX29" s="358">
        <f t="shared" si="4"/>
        <v>2</v>
      </c>
      <c r="AY29" s="358">
        <f t="shared" si="5"/>
        <v>3</v>
      </c>
      <c r="AZ29" s="358">
        <f t="shared" si="6"/>
        <v>3</v>
      </c>
      <c r="BA29" s="358">
        <f t="shared" si="7"/>
        <v>3</v>
      </c>
      <c r="BB29" s="358">
        <f t="shared" si="8"/>
        <v>1</v>
      </c>
      <c r="BC29" s="358">
        <f t="shared" si="9"/>
        <v>1</v>
      </c>
      <c r="BD29" s="358">
        <f t="shared" si="10"/>
        <v>1</v>
      </c>
      <c r="BE29" s="358">
        <f t="shared" si="11"/>
        <v>1</v>
      </c>
      <c r="BF29" s="358">
        <f t="shared" si="12"/>
        <v>1</v>
      </c>
      <c r="BG29" s="358">
        <f t="shared" si="13"/>
        <v>1</v>
      </c>
      <c r="BH29" s="358">
        <f t="shared" si="14"/>
        <v>1</v>
      </c>
      <c r="BI29" s="358">
        <f t="shared" si="15"/>
        <v>0</v>
      </c>
    </row>
    <row r="30" s="7" customFormat="1" ht="47.1" customHeight="1" spans="1:61">
      <c r="A30" s="347" t="s">
        <v>82</v>
      </c>
      <c r="B30" s="38" t="s">
        <v>32</v>
      </c>
      <c r="C30" s="38" t="s">
        <v>39</v>
      </c>
      <c r="D30" s="38" t="s">
        <v>35</v>
      </c>
      <c r="E30" s="38" t="s">
        <v>30</v>
      </c>
      <c r="F30" s="38" t="s">
        <v>14</v>
      </c>
      <c r="G30" s="38" t="s">
        <v>12</v>
      </c>
      <c r="H30" s="38" t="s">
        <v>29</v>
      </c>
      <c r="I30" s="58" t="s">
        <v>34</v>
      </c>
      <c r="J30" s="42"/>
      <c r="K30" s="38" t="s">
        <v>32</v>
      </c>
      <c r="L30" s="38" t="s">
        <v>81</v>
      </c>
      <c r="M30" s="42" t="s">
        <v>14</v>
      </c>
      <c r="N30" s="38" t="s">
        <v>12</v>
      </c>
      <c r="O30" s="38" t="s">
        <v>12</v>
      </c>
      <c r="P30" s="38" t="s">
        <v>33</v>
      </c>
      <c r="Q30" s="38" t="s">
        <v>31</v>
      </c>
      <c r="R30" s="58" t="s">
        <v>37</v>
      </c>
      <c r="S30" s="42"/>
      <c r="T30" s="38" t="s">
        <v>29</v>
      </c>
      <c r="U30" s="38" t="s">
        <v>12</v>
      </c>
      <c r="V30" s="38" t="s">
        <v>36</v>
      </c>
      <c r="W30" s="38" t="s">
        <v>14</v>
      </c>
      <c r="X30" s="38" t="s">
        <v>26</v>
      </c>
      <c r="Y30" s="38" t="s">
        <v>38</v>
      </c>
      <c r="Z30" s="38" t="s">
        <v>30</v>
      </c>
      <c r="AA30" s="38" t="s">
        <v>32</v>
      </c>
      <c r="AB30" s="37"/>
      <c r="AC30" s="38" t="s">
        <v>12</v>
      </c>
      <c r="AD30" s="38" t="s">
        <v>33</v>
      </c>
      <c r="AE30" s="38" t="s">
        <v>32</v>
      </c>
      <c r="AF30" s="38" t="s">
        <v>14</v>
      </c>
      <c r="AG30" s="58" t="s">
        <v>35</v>
      </c>
      <c r="AH30" s="38" t="s">
        <v>30</v>
      </c>
      <c r="AI30" s="38" t="s">
        <v>43</v>
      </c>
      <c r="AJ30" s="58" t="s">
        <v>41</v>
      </c>
      <c r="AK30" s="42"/>
      <c r="AL30" s="38" t="s">
        <v>32</v>
      </c>
      <c r="AM30" s="38" t="s">
        <v>81</v>
      </c>
      <c r="AN30" s="38" t="s">
        <v>29</v>
      </c>
      <c r="AO30" s="38" t="s">
        <v>33</v>
      </c>
      <c r="AP30" s="38" t="s">
        <v>14</v>
      </c>
      <c r="AQ30" s="38" t="s">
        <v>12</v>
      </c>
      <c r="AR30" s="38" t="s">
        <v>36</v>
      </c>
      <c r="AS30" s="38" t="s">
        <v>40</v>
      </c>
      <c r="AT30" s="358">
        <f t="shared" si="0"/>
        <v>6</v>
      </c>
      <c r="AU30" s="358">
        <f t="shared" si="1"/>
        <v>5</v>
      </c>
      <c r="AV30" s="358">
        <f t="shared" si="2"/>
        <v>5</v>
      </c>
      <c r="AW30" s="358">
        <f t="shared" si="3"/>
        <v>2</v>
      </c>
      <c r="AX30" s="358">
        <f t="shared" si="4"/>
        <v>2</v>
      </c>
      <c r="AY30" s="358">
        <f t="shared" si="5"/>
        <v>3</v>
      </c>
      <c r="AZ30" s="358">
        <f t="shared" si="6"/>
        <v>3</v>
      </c>
      <c r="BA30" s="358">
        <f t="shared" si="7"/>
        <v>3</v>
      </c>
      <c r="BB30" s="358">
        <f t="shared" si="8"/>
        <v>1</v>
      </c>
      <c r="BC30" s="358">
        <f t="shared" si="9"/>
        <v>1</v>
      </c>
      <c r="BD30" s="358">
        <f t="shared" si="10"/>
        <v>1</v>
      </c>
      <c r="BE30" s="358">
        <f t="shared" si="11"/>
        <v>1</v>
      </c>
      <c r="BF30" s="358">
        <f t="shared" si="12"/>
        <v>1</v>
      </c>
      <c r="BG30" s="358">
        <f t="shared" si="13"/>
        <v>1</v>
      </c>
      <c r="BH30" s="358">
        <f t="shared" si="14"/>
        <v>1</v>
      </c>
      <c r="BI30" s="358">
        <f t="shared" si="15"/>
        <v>0</v>
      </c>
    </row>
    <row r="31" s="8" customFormat="1" ht="98.1" customHeight="1" spans="1:61">
      <c r="A31" s="349"/>
      <c r="B31" s="350"/>
      <c r="C31" s="350"/>
      <c r="D31" s="350"/>
      <c r="E31" s="351" t="s">
        <v>83</v>
      </c>
      <c r="F31" s="351"/>
      <c r="G31" s="352"/>
      <c r="H31" s="352"/>
      <c r="I31" s="352"/>
      <c r="J31" s="352"/>
      <c r="K31" s="351" t="s">
        <v>84</v>
      </c>
      <c r="L31" s="351"/>
      <c r="M31" s="351"/>
      <c r="N31" s="351"/>
      <c r="O31" s="351"/>
      <c r="P31" s="352"/>
      <c r="Q31" s="352"/>
      <c r="R31" s="352"/>
      <c r="S31" s="352"/>
      <c r="T31" s="351" t="s">
        <v>85</v>
      </c>
      <c r="U31" s="351"/>
      <c r="V31" s="351"/>
      <c r="W31" s="351"/>
      <c r="X31" s="351"/>
      <c r="Y31" s="351" t="s">
        <v>86</v>
      </c>
      <c r="Z31" s="351"/>
      <c r="AA31" s="351"/>
      <c r="AB31" s="351"/>
      <c r="AC31" s="351" t="s">
        <v>87</v>
      </c>
      <c r="AD31" s="351"/>
      <c r="AE31" s="351"/>
      <c r="AF31" s="351"/>
      <c r="AG31" s="351"/>
      <c r="AH31" s="351"/>
      <c r="AI31" s="351"/>
      <c r="AJ31" s="351"/>
      <c r="AK31" s="351"/>
      <c r="AL31" s="351" t="s">
        <v>88</v>
      </c>
      <c r="AM31" s="351"/>
      <c r="AN31" s="351"/>
      <c r="AO31" s="351" t="s">
        <v>89</v>
      </c>
      <c r="AP31" s="351"/>
      <c r="AQ31" s="353"/>
      <c r="AR31" s="353"/>
      <c r="AS31" s="354"/>
      <c r="AT31" s="359"/>
      <c r="AU31" s="359"/>
      <c r="AV31" s="359"/>
      <c r="AW31" s="359"/>
      <c r="AX31" s="359"/>
      <c r="AY31" s="359"/>
      <c r="AZ31" s="359"/>
      <c r="BA31" s="359"/>
      <c r="BB31" s="359"/>
      <c r="BC31" s="359"/>
      <c r="BD31" s="359"/>
      <c r="BE31" s="359"/>
      <c r="BF31" s="359"/>
      <c r="BG31" s="359"/>
      <c r="BH31" s="359"/>
      <c r="BI31" s="359"/>
    </row>
  </sheetData>
  <mergeCells count="23">
    <mergeCell ref="A1:AS1"/>
    <mergeCell ref="B2:J2"/>
    <mergeCell ref="K2:S2"/>
    <mergeCell ref="T2:AB2"/>
    <mergeCell ref="AC2:AK2"/>
    <mergeCell ref="AL2:AS2"/>
    <mergeCell ref="B3:F3"/>
    <mergeCell ref="G3:J3"/>
    <mergeCell ref="K3:O3"/>
    <mergeCell ref="P3:S3"/>
    <mergeCell ref="T3:X3"/>
    <mergeCell ref="Y3:AB3"/>
    <mergeCell ref="AC3:AG3"/>
    <mergeCell ref="AH3:AK3"/>
    <mergeCell ref="AL3:AP3"/>
    <mergeCell ref="AQ3:AS3"/>
    <mergeCell ref="E31:F31"/>
    <mergeCell ref="K31:O31"/>
    <mergeCell ref="T31:X31"/>
    <mergeCell ref="Y31:AA31"/>
    <mergeCell ref="AC31:AG31"/>
    <mergeCell ref="AL31:AN31"/>
    <mergeCell ref="AO31:AP31"/>
  </mergeCells>
  <conditionalFormatting sqref="M6">
    <cfRule type="cellIs" dxfId="0" priority="26" operator="equal">
      <formula>"语"</formula>
    </cfRule>
    <cfRule type="cellIs" dxfId="2" priority="25" operator="equal">
      <formula>"数"</formula>
    </cfRule>
    <cfRule type="cellIs" dxfId="1" priority="24" operator="equal">
      <formula>"英"</formula>
    </cfRule>
    <cfRule type="cellIs" dxfId="3" priority="23" operator="equal">
      <formula>"政"</formula>
    </cfRule>
    <cfRule type="cellIs" dxfId="4" priority="22" operator="equal">
      <formula>"历"</formula>
    </cfRule>
    <cfRule type="cellIs" dxfId="5" priority="21" operator="equal">
      <formula>"生"</formula>
    </cfRule>
    <cfRule type="cellIs" dxfId="6" priority="20" operator="equal">
      <formula>"地"</formula>
    </cfRule>
    <cfRule type="cellIs" dxfId="7" priority="19" operator="equal">
      <formula>"体"</formula>
    </cfRule>
    <cfRule type="cellIs" dxfId="8" priority="18" operator="equal">
      <formula>"美"</formula>
    </cfRule>
    <cfRule type="cellIs" dxfId="9" priority="17" operator="equal">
      <formula>"音"</formula>
    </cfRule>
    <cfRule type="cellIs" dxfId="10" priority="16" operator="equal">
      <formula>"信"</formula>
    </cfRule>
    <cfRule type="cellIs" dxfId="11" priority="15" operator="equal">
      <formula>4.5</formula>
    </cfRule>
    <cfRule type="cellIs" dxfId="12" priority="14" operator="equal">
      <formula>"心综"</formula>
    </cfRule>
  </conditionalFormatting>
  <conditionalFormatting sqref="V10">
    <cfRule type="cellIs" dxfId="0" priority="13" operator="equal">
      <formula>"语"</formula>
    </cfRule>
    <cfRule type="cellIs" dxfId="2" priority="12" operator="equal">
      <formula>"数"</formula>
    </cfRule>
    <cfRule type="cellIs" dxfId="1" priority="11" operator="equal">
      <formula>"英"</formula>
    </cfRule>
    <cfRule type="cellIs" dxfId="3" priority="10" operator="equal">
      <formula>"政"</formula>
    </cfRule>
    <cfRule type="cellIs" dxfId="4" priority="9" operator="equal">
      <formula>"历"</formula>
    </cfRule>
    <cfRule type="cellIs" dxfId="5" priority="8" operator="equal">
      <formula>"生"</formula>
    </cfRule>
    <cfRule type="cellIs" dxfId="6" priority="7" operator="equal">
      <formula>"地"</formula>
    </cfRule>
    <cfRule type="cellIs" dxfId="7" priority="6" operator="equal">
      <formula>"体"</formula>
    </cfRule>
    <cfRule type="cellIs" dxfId="8" priority="5" operator="equal">
      <formula>"美"</formula>
    </cfRule>
    <cfRule type="cellIs" dxfId="9" priority="4" operator="equal">
      <formula>"音"</formula>
    </cfRule>
    <cfRule type="cellIs" dxfId="10" priority="3" operator="equal">
      <formula>"信"</formula>
    </cfRule>
    <cfRule type="cellIs" dxfId="11" priority="2" operator="equal">
      <formula>4.5</formula>
    </cfRule>
    <cfRule type="cellIs" dxfId="12" priority="1" operator="equal">
      <formula>"心综"</formula>
    </cfRule>
  </conditionalFormatting>
  <conditionalFormatting sqref="N1:AS9 N10:U10 W10:AS10 N11:AS31 A1:K31 L1:M5 L7:M31 L6">
    <cfRule type="cellIs" dxfId="12" priority="27" operator="equal">
      <formula>"心综"</formula>
    </cfRule>
    <cfRule type="cellIs" dxfId="11" priority="28" operator="equal">
      <formula>4.5</formula>
    </cfRule>
    <cfRule type="cellIs" dxfId="10" priority="29" operator="equal">
      <formula>"信"</formula>
    </cfRule>
    <cfRule type="cellIs" dxfId="9" priority="30" operator="equal">
      <formula>"音"</formula>
    </cfRule>
    <cfRule type="cellIs" dxfId="8" priority="31" operator="equal">
      <formula>"美"</formula>
    </cfRule>
    <cfRule type="cellIs" dxfId="7" priority="32" operator="equal">
      <formula>"体"</formula>
    </cfRule>
    <cfRule type="cellIs" dxfId="6" priority="33" operator="equal">
      <formula>"地"</formula>
    </cfRule>
    <cfRule type="cellIs" dxfId="5" priority="34" operator="equal">
      <formula>"生"</formula>
    </cfRule>
    <cfRule type="cellIs" dxfId="4" priority="35" operator="equal">
      <formula>"历"</formula>
    </cfRule>
    <cfRule type="cellIs" dxfId="3" priority="36" operator="equal">
      <formula>"政"</formula>
    </cfRule>
    <cfRule type="cellIs" dxfId="1" priority="37" operator="equal">
      <formula>"英"</formula>
    </cfRule>
    <cfRule type="cellIs" dxfId="2" priority="38" operator="equal">
      <formula>"数"</formula>
    </cfRule>
    <cfRule type="cellIs" dxfId="0" priority="39" operator="equal">
      <formula>"语"</formula>
    </cfRule>
  </conditionalFormatting>
  <pageMargins left="0.75" right="0.75" top="1" bottom="1" header="0.5" footer="0.5"/>
  <pageSetup paperSize="9" scale="4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1"/>
  <sheetViews>
    <sheetView zoomScale="70" zoomScaleNormal="70" workbookViewId="0">
      <pane ySplit="4" topLeftCell="A5" activePane="bottomLeft" state="frozen"/>
      <selection/>
      <selection pane="bottomLeft" activeCell="BK19" sqref="BK19"/>
    </sheetView>
  </sheetViews>
  <sheetFormatPr defaultColWidth="9" defaultRowHeight="12"/>
  <cols>
    <col min="1" max="1" width="11.875" style="10" customWidth="1"/>
    <col min="2" max="45" width="5" style="10" customWidth="1"/>
    <col min="46" max="16384" width="9" style="10"/>
  </cols>
  <sheetData>
    <row r="1" ht="38.1" customHeight="1" spans="1:46">
      <c r="A1" s="158" t="s">
        <v>93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322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</row>
    <row r="2" s="2" customFormat="1" ht="21.95" customHeight="1" spans="1:46">
      <c r="A2" s="323" t="s">
        <v>1</v>
      </c>
      <c r="B2" s="160" t="s">
        <v>2</v>
      </c>
      <c r="C2" s="161"/>
      <c r="D2" s="161"/>
      <c r="E2" s="161"/>
      <c r="F2" s="161"/>
      <c r="G2" s="161"/>
      <c r="H2" s="161"/>
      <c r="I2" s="161"/>
      <c r="J2" s="163"/>
      <c r="K2" s="160" t="s">
        <v>3</v>
      </c>
      <c r="L2" s="161"/>
      <c r="M2" s="161"/>
      <c r="N2" s="161"/>
      <c r="O2" s="161"/>
      <c r="P2" s="161"/>
      <c r="Q2" s="161"/>
      <c r="R2" s="324"/>
      <c r="S2" s="163"/>
      <c r="T2" s="160" t="s">
        <v>4</v>
      </c>
      <c r="U2" s="161"/>
      <c r="V2" s="161"/>
      <c r="W2" s="161"/>
      <c r="X2" s="161"/>
      <c r="Y2" s="161"/>
      <c r="Z2" s="161"/>
      <c r="AA2" s="161"/>
      <c r="AB2" s="163"/>
      <c r="AC2" s="164" t="s">
        <v>5</v>
      </c>
      <c r="AD2" s="165"/>
      <c r="AE2" s="165"/>
      <c r="AF2" s="165"/>
      <c r="AG2" s="165"/>
      <c r="AH2" s="165"/>
      <c r="AI2" s="165"/>
      <c r="AJ2" s="165"/>
      <c r="AK2" s="166"/>
      <c r="AL2" s="325" t="s">
        <v>6</v>
      </c>
      <c r="AM2" s="165"/>
      <c r="AN2" s="165"/>
      <c r="AO2" s="165"/>
      <c r="AP2" s="165"/>
      <c r="AQ2" s="165"/>
      <c r="AR2" s="165"/>
      <c r="AS2" s="166"/>
    </row>
    <row r="3" s="2" customFormat="1" ht="21.95" customHeight="1" spans="1:46">
      <c r="A3" s="326" t="s">
        <v>7</v>
      </c>
      <c r="B3" s="327" t="s">
        <v>8</v>
      </c>
      <c r="C3" s="328"/>
      <c r="D3" s="328"/>
      <c r="E3" s="328"/>
      <c r="F3" s="328"/>
      <c r="G3" s="328" t="s">
        <v>9</v>
      </c>
      <c r="H3" s="328"/>
      <c r="I3" s="328"/>
      <c r="J3" s="329"/>
      <c r="K3" s="327" t="s">
        <v>8</v>
      </c>
      <c r="L3" s="328"/>
      <c r="M3" s="328"/>
      <c r="N3" s="328"/>
      <c r="O3" s="328"/>
      <c r="P3" s="328" t="s">
        <v>9</v>
      </c>
      <c r="Q3" s="328"/>
      <c r="R3" s="330"/>
      <c r="S3" s="329"/>
      <c r="T3" s="327" t="s">
        <v>8</v>
      </c>
      <c r="U3" s="328"/>
      <c r="V3" s="328"/>
      <c r="W3" s="328"/>
      <c r="X3" s="328"/>
      <c r="Y3" s="328" t="s">
        <v>9</v>
      </c>
      <c r="Z3" s="328"/>
      <c r="AA3" s="328"/>
      <c r="AB3" s="329"/>
      <c r="AC3" s="327" t="s">
        <v>8</v>
      </c>
      <c r="AD3" s="328"/>
      <c r="AE3" s="328"/>
      <c r="AF3" s="328"/>
      <c r="AG3" s="328"/>
      <c r="AH3" s="328" t="s">
        <v>9</v>
      </c>
      <c r="AI3" s="328"/>
      <c r="AJ3" s="328"/>
      <c r="AK3" s="329"/>
      <c r="AL3" s="331" t="s">
        <v>8</v>
      </c>
      <c r="AM3" s="328"/>
      <c r="AN3" s="328"/>
      <c r="AO3" s="328"/>
      <c r="AP3" s="328"/>
      <c r="AQ3" s="328" t="s">
        <v>9</v>
      </c>
      <c r="AR3" s="328"/>
      <c r="AS3" s="329"/>
    </row>
    <row r="4" s="26" customFormat="1" ht="47.1" customHeight="1" spans="1:46">
      <c r="A4" s="332" t="s">
        <v>10</v>
      </c>
      <c r="B4" s="333">
        <v>1</v>
      </c>
      <c r="C4" s="334">
        <v>2</v>
      </c>
      <c r="D4" s="334">
        <v>3</v>
      </c>
      <c r="E4" s="334">
        <v>4</v>
      </c>
      <c r="F4" s="334">
        <v>5</v>
      </c>
      <c r="G4" s="334">
        <v>6</v>
      </c>
      <c r="H4" s="334">
        <v>7</v>
      </c>
      <c r="I4" s="334">
        <v>8</v>
      </c>
      <c r="J4" s="335" t="s">
        <v>11</v>
      </c>
      <c r="K4" s="333">
        <v>1</v>
      </c>
      <c r="L4" s="334">
        <v>2</v>
      </c>
      <c r="M4" s="334">
        <v>3</v>
      </c>
      <c r="N4" s="334">
        <v>4</v>
      </c>
      <c r="O4" s="334">
        <v>5</v>
      </c>
      <c r="P4" s="334">
        <v>6</v>
      </c>
      <c r="Q4" s="334">
        <v>7</v>
      </c>
      <c r="R4" s="336">
        <v>8</v>
      </c>
      <c r="S4" s="335" t="s">
        <v>11</v>
      </c>
      <c r="T4" s="333">
        <v>1</v>
      </c>
      <c r="U4" s="334">
        <v>2</v>
      </c>
      <c r="V4" s="334">
        <v>3</v>
      </c>
      <c r="W4" s="334">
        <v>4</v>
      </c>
      <c r="X4" s="334">
        <v>5</v>
      </c>
      <c r="Y4" s="334">
        <v>6</v>
      </c>
      <c r="Z4" s="334">
        <v>7</v>
      </c>
      <c r="AA4" s="334">
        <v>8</v>
      </c>
      <c r="AB4" s="335" t="s">
        <v>11</v>
      </c>
      <c r="AC4" s="333">
        <v>1</v>
      </c>
      <c r="AD4" s="334">
        <v>2</v>
      </c>
      <c r="AE4" s="334">
        <v>3</v>
      </c>
      <c r="AF4" s="334">
        <v>4</v>
      </c>
      <c r="AG4" s="334">
        <v>5</v>
      </c>
      <c r="AH4" s="334">
        <v>6</v>
      </c>
      <c r="AI4" s="334">
        <v>7</v>
      </c>
      <c r="AJ4" s="334">
        <v>8</v>
      </c>
      <c r="AK4" s="335" t="s">
        <v>11</v>
      </c>
      <c r="AL4" s="337">
        <v>1</v>
      </c>
      <c r="AM4" s="334">
        <v>2</v>
      </c>
      <c r="AN4" s="334">
        <v>3</v>
      </c>
      <c r="AO4" s="334">
        <v>4</v>
      </c>
      <c r="AP4" s="334">
        <v>5</v>
      </c>
      <c r="AQ4" s="334">
        <v>6</v>
      </c>
      <c r="AR4" s="334">
        <v>7</v>
      </c>
      <c r="AS4" s="338">
        <v>8</v>
      </c>
    </row>
    <row r="5" s="26" customFormat="1" ht="47.1" customHeight="1" spans="1:46">
      <c r="A5" s="339" t="s">
        <v>28</v>
      </c>
      <c r="B5" s="24" t="s">
        <v>32</v>
      </c>
      <c r="C5" s="24" t="s">
        <v>29</v>
      </c>
      <c r="D5" s="24" t="s">
        <v>12</v>
      </c>
      <c r="E5" s="24" t="s">
        <v>14</v>
      </c>
      <c r="F5" s="24" t="s">
        <v>31</v>
      </c>
      <c r="G5" s="24" t="s">
        <v>36</v>
      </c>
      <c r="H5" s="24" t="s">
        <v>33</v>
      </c>
      <c r="I5" s="340" t="s">
        <v>34</v>
      </c>
      <c r="J5" s="341"/>
      <c r="K5" s="24" t="s">
        <v>35</v>
      </c>
      <c r="L5" s="24" t="s">
        <v>14</v>
      </c>
      <c r="M5" s="24" t="s">
        <v>12</v>
      </c>
      <c r="N5" s="24" t="s">
        <v>12</v>
      </c>
      <c r="O5" s="340" t="s">
        <v>40</v>
      </c>
      <c r="P5" s="24" t="s">
        <v>32</v>
      </c>
      <c r="Q5" s="24" t="s">
        <v>38</v>
      </c>
      <c r="R5" s="340" t="s">
        <v>37</v>
      </c>
      <c r="S5" s="37"/>
      <c r="T5" s="24" t="s">
        <v>29</v>
      </c>
      <c r="U5" s="24" t="s">
        <v>33</v>
      </c>
      <c r="V5" s="24" t="s">
        <v>12</v>
      </c>
      <c r="W5" s="24" t="s">
        <v>14</v>
      </c>
      <c r="X5" s="24" t="s">
        <v>26</v>
      </c>
      <c r="Y5" s="24" t="s">
        <v>32</v>
      </c>
      <c r="Z5" s="24" t="s">
        <v>42</v>
      </c>
      <c r="AA5" s="24" t="s">
        <v>30</v>
      </c>
      <c r="AB5" s="37"/>
      <c r="AC5" s="24" t="s">
        <v>35</v>
      </c>
      <c r="AD5" s="24" t="s">
        <v>30</v>
      </c>
      <c r="AE5" s="24" t="s">
        <v>12</v>
      </c>
      <c r="AF5" s="24" t="s">
        <v>14</v>
      </c>
      <c r="AG5" s="24" t="s">
        <v>43</v>
      </c>
      <c r="AH5" s="24" t="s">
        <v>36</v>
      </c>
      <c r="AI5" s="24" t="s">
        <v>32</v>
      </c>
      <c r="AJ5" s="340" t="s">
        <v>41</v>
      </c>
      <c r="AK5" s="37"/>
      <c r="AL5" s="24" t="s">
        <v>42</v>
      </c>
      <c r="AM5" s="24" t="s">
        <v>32</v>
      </c>
      <c r="AN5" s="24" t="s">
        <v>39</v>
      </c>
      <c r="AO5" s="24" t="s">
        <v>14</v>
      </c>
      <c r="AP5" s="24" t="s">
        <v>29</v>
      </c>
      <c r="AQ5" s="24" t="s">
        <v>12</v>
      </c>
      <c r="AR5" s="24" t="s">
        <v>30</v>
      </c>
      <c r="AS5" s="24" t="s">
        <v>33</v>
      </c>
      <c r="AT5" s="342"/>
    </row>
    <row r="6" s="26" customFormat="1" ht="47.1" customHeight="1" spans="1:46">
      <c r="A6" s="343" t="s">
        <v>44</v>
      </c>
      <c r="B6" s="25" t="s">
        <v>14</v>
      </c>
      <c r="C6" s="25" t="s">
        <v>12</v>
      </c>
      <c r="D6" s="25" t="s">
        <v>30</v>
      </c>
      <c r="E6" s="25" t="s">
        <v>32</v>
      </c>
      <c r="F6" s="25" t="s">
        <v>45</v>
      </c>
      <c r="G6" s="25" t="s">
        <v>33</v>
      </c>
      <c r="H6" s="12" t="s">
        <v>43</v>
      </c>
      <c r="I6" s="344" t="s">
        <v>34</v>
      </c>
      <c r="J6" s="37"/>
      <c r="K6" s="25" t="s">
        <v>32</v>
      </c>
      <c r="L6" s="25" t="s">
        <v>31</v>
      </c>
      <c r="M6" s="25" t="s">
        <v>35</v>
      </c>
      <c r="N6" s="25" t="s">
        <v>14</v>
      </c>
      <c r="O6" s="344" t="s">
        <v>40</v>
      </c>
      <c r="P6" s="25" t="s">
        <v>12</v>
      </c>
      <c r="Q6" s="25" t="s">
        <v>12</v>
      </c>
      <c r="R6" s="344" t="s">
        <v>37</v>
      </c>
      <c r="S6" s="37"/>
      <c r="T6" s="25" t="s">
        <v>26</v>
      </c>
      <c r="U6" s="25" t="s">
        <v>14</v>
      </c>
      <c r="V6" s="25" t="s">
        <v>33</v>
      </c>
      <c r="W6" s="25" t="s">
        <v>29</v>
      </c>
      <c r="X6" s="25" t="s">
        <v>12</v>
      </c>
      <c r="Y6" s="25" t="s">
        <v>30</v>
      </c>
      <c r="Z6" s="25" t="s">
        <v>32</v>
      </c>
      <c r="AA6" s="25" t="s">
        <v>45</v>
      </c>
      <c r="AB6" s="37"/>
      <c r="AC6" s="25" t="s">
        <v>12</v>
      </c>
      <c r="AD6" s="25" t="s">
        <v>35</v>
      </c>
      <c r="AE6" s="25" t="s">
        <v>14</v>
      </c>
      <c r="AF6" s="25" t="s">
        <v>32</v>
      </c>
      <c r="AG6" s="25" t="s">
        <v>30</v>
      </c>
      <c r="AH6" s="25" t="s">
        <v>29</v>
      </c>
      <c r="AI6" s="25" t="s">
        <v>36</v>
      </c>
      <c r="AJ6" s="344" t="s">
        <v>41</v>
      </c>
      <c r="AK6" s="37"/>
      <c r="AL6" s="25" t="s">
        <v>32</v>
      </c>
      <c r="AM6" s="25" t="s">
        <v>39</v>
      </c>
      <c r="AN6" s="25" t="s">
        <v>29</v>
      </c>
      <c r="AO6" s="25" t="s">
        <v>38</v>
      </c>
      <c r="AP6" s="25" t="s">
        <v>14</v>
      </c>
      <c r="AQ6" s="25" t="s">
        <v>36</v>
      </c>
      <c r="AR6" s="25" t="s">
        <v>33</v>
      </c>
      <c r="AS6" s="25" t="s">
        <v>12</v>
      </c>
      <c r="AT6" s="345"/>
    </row>
    <row r="7" s="26" customFormat="1" ht="47.1" customHeight="1" spans="1:46">
      <c r="A7" s="343" t="s">
        <v>46</v>
      </c>
      <c r="B7" s="25" t="s">
        <v>33</v>
      </c>
      <c r="C7" s="25" t="s">
        <v>36</v>
      </c>
      <c r="D7" s="25" t="s">
        <v>35</v>
      </c>
      <c r="E7" s="25" t="s">
        <v>32</v>
      </c>
      <c r="F7" s="25" t="s">
        <v>38</v>
      </c>
      <c r="G7" s="25" t="s">
        <v>14</v>
      </c>
      <c r="H7" s="25" t="s">
        <v>12</v>
      </c>
      <c r="I7" s="344" t="s">
        <v>34</v>
      </c>
      <c r="J7" s="12"/>
      <c r="K7" s="25" t="s">
        <v>29</v>
      </c>
      <c r="L7" s="25" t="s">
        <v>14</v>
      </c>
      <c r="M7" s="25" t="s">
        <v>32</v>
      </c>
      <c r="N7" s="25" t="s">
        <v>47</v>
      </c>
      <c r="O7" s="344" t="s">
        <v>40</v>
      </c>
      <c r="P7" s="25" t="s">
        <v>12</v>
      </c>
      <c r="Q7" s="25" t="s">
        <v>12</v>
      </c>
      <c r="R7" s="344" t="s">
        <v>37</v>
      </c>
      <c r="S7" s="12"/>
      <c r="T7" s="12" t="s">
        <v>39</v>
      </c>
      <c r="U7" s="25" t="s">
        <v>29</v>
      </c>
      <c r="V7" s="25" t="s">
        <v>30</v>
      </c>
      <c r="W7" s="25" t="s">
        <v>12</v>
      </c>
      <c r="X7" s="25" t="s">
        <v>14</v>
      </c>
      <c r="Y7" s="25" t="s">
        <v>36</v>
      </c>
      <c r="Z7" s="25" t="s">
        <v>32</v>
      </c>
      <c r="AA7" s="25" t="s">
        <v>35</v>
      </c>
      <c r="AB7" s="37"/>
      <c r="AC7" s="25" t="s">
        <v>33</v>
      </c>
      <c r="AD7" s="25" t="s">
        <v>12</v>
      </c>
      <c r="AE7" s="25" t="s">
        <v>30</v>
      </c>
      <c r="AF7" s="25" t="s">
        <v>32</v>
      </c>
      <c r="AG7" s="25" t="s">
        <v>47</v>
      </c>
      <c r="AH7" s="25" t="s">
        <v>14</v>
      </c>
      <c r="AI7" s="25" t="s">
        <v>26</v>
      </c>
      <c r="AJ7" s="344" t="s">
        <v>41</v>
      </c>
      <c r="AK7" s="12"/>
      <c r="AL7" s="25" t="s">
        <v>43</v>
      </c>
      <c r="AM7" s="25" t="s">
        <v>31</v>
      </c>
      <c r="AN7" s="25" t="s">
        <v>32</v>
      </c>
      <c r="AO7" s="25" t="s">
        <v>14</v>
      </c>
      <c r="AP7" s="25" t="s">
        <v>30</v>
      </c>
      <c r="AQ7" s="25" t="s">
        <v>33</v>
      </c>
      <c r="AR7" s="25" t="s">
        <v>29</v>
      </c>
      <c r="AS7" s="25" t="s">
        <v>12</v>
      </c>
      <c r="AT7" s="345"/>
    </row>
    <row r="8" s="26" customFormat="1" ht="47.1" customHeight="1" spans="1:46">
      <c r="A8" s="343" t="s">
        <v>48</v>
      </c>
      <c r="B8" s="25" t="s">
        <v>32</v>
      </c>
      <c r="C8" s="25" t="s">
        <v>31</v>
      </c>
      <c r="D8" s="25" t="s">
        <v>12</v>
      </c>
      <c r="E8" s="25" t="s">
        <v>29</v>
      </c>
      <c r="F8" s="25" t="s">
        <v>33</v>
      </c>
      <c r="G8" s="25" t="s">
        <v>30</v>
      </c>
      <c r="H8" s="25" t="s">
        <v>14</v>
      </c>
      <c r="I8" s="344" t="s">
        <v>34</v>
      </c>
      <c r="J8" s="12"/>
      <c r="K8" s="25" t="s">
        <v>12</v>
      </c>
      <c r="L8" s="25" t="s">
        <v>12</v>
      </c>
      <c r="M8" s="25" t="s">
        <v>29</v>
      </c>
      <c r="N8" s="25" t="s">
        <v>14</v>
      </c>
      <c r="O8" s="344" t="s">
        <v>40</v>
      </c>
      <c r="P8" s="25" t="s">
        <v>32</v>
      </c>
      <c r="Q8" s="25" t="s">
        <v>47</v>
      </c>
      <c r="R8" s="344" t="s">
        <v>37</v>
      </c>
      <c r="S8" s="12"/>
      <c r="T8" s="25" t="s">
        <v>14</v>
      </c>
      <c r="U8" s="25" t="s">
        <v>30</v>
      </c>
      <c r="V8" s="25" t="s">
        <v>39</v>
      </c>
      <c r="W8" s="25" t="s">
        <v>43</v>
      </c>
      <c r="X8" s="25" t="s">
        <v>12</v>
      </c>
      <c r="Y8" s="25" t="s">
        <v>33</v>
      </c>
      <c r="Z8" s="12" t="s">
        <v>36</v>
      </c>
      <c r="AA8" s="25" t="s">
        <v>32</v>
      </c>
      <c r="AB8" s="37"/>
      <c r="AC8" s="25" t="s">
        <v>32</v>
      </c>
      <c r="AD8" s="25" t="s">
        <v>47</v>
      </c>
      <c r="AE8" s="25" t="s">
        <v>14</v>
      </c>
      <c r="AF8" s="25" t="s">
        <v>26</v>
      </c>
      <c r="AG8" s="25" t="s">
        <v>35</v>
      </c>
      <c r="AH8" s="25" t="s">
        <v>12</v>
      </c>
      <c r="AI8" s="25" t="s">
        <v>30</v>
      </c>
      <c r="AJ8" s="344" t="s">
        <v>41</v>
      </c>
      <c r="AK8" s="37"/>
      <c r="AL8" s="25" t="s">
        <v>32</v>
      </c>
      <c r="AM8" s="25" t="s">
        <v>35</v>
      </c>
      <c r="AN8" s="25" t="s">
        <v>14</v>
      </c>
      <c r="AO8" s="25" t="s">
        <v>33</v>
      </c>
      <c r="AP8" s="25" t="s">
        <v>38</v>
      </c>
      <c r="AQ8" s="25" t="s">
        <v>12</v>
      </c>
      <c r="AR8" s="25" t="s">
        <v>36</v>
      </c>
      <c r="AS8" s="25" t="s">
        <v>29</v>
      </c>
      <c r="AT8" s="345"/>
    </row>
    <row r="9" s="26" customFormat="1" ht="47.1" customHeight="1" spans="1:46">
      <c r="A9" s="343" t="s">
        <v>49</v>
      </c>
      <c r="B9" s="25" t="s">
        <v>35</v>
      </c>
      <c r="C9" s="25" t="s">
        <v>12</v>
      </c>
      <c r="D9" s="25" t="s">
        <v>14</v>
      </c>
      <c r="E9" s="25" t="s">
        <v>33</v>
      </c>
      <c r="F9" s="25" t="s">
        <v>29</v>
      </c>
      <c r="G9" s="25" t="s">
        <v>32</v>
      </c>
      <c r="H9" s="25" t="s">
        <v>30</v>
      </c>
      <c r="I9" s="344" t="s">
        <v>34</v>
      </c>
      <c r="J9" s="12"/>
      <c r="K9" s="25" t="s">
        <v>29</v>
      </c>
      <c r="L9" s="25" t="s">
        <v>14</v>
      </c>
      <c r="M9" s="25" t="s">
        <v>32</v>
      </c>
      <c r="N9" s="25" t="s">
        <v>50</v>
      </c>
      <c r="O9" s="344" t="s">
        <v>40</v>
      </c>
      <c r="P9" s="25" t="s">
        <v>12</v>
      </c>
      <c r="Q9" s="25" t="s">
        <v>12</v>
      </c>
      <c r="R9" s="344" t="s">
        <v>37</v>
      </c>
      <c r="S9" s="12"/>
      <c r="T9" s="25" t="s">
        <v>36</v>
      </c>
      <c r="U9" s="25" t="s">
        <v>12</v>
      </c>
      <c r="V9" s="25" t="s">
        <v>38</v>
      </c>
      <c r="W9" s="25" t="s">
        <v>14</v>
      </c>
      <c r="X9" s="25" t="s">
        <v>26</v>
      </c>
      <c r="Y9" s="25" t="s">
        <v>32</v>
      </c>
      <c r="Z9" s="25" t="s">
        <v>35</v>
      </c>
      <c r="AA9" s="25" t="s">
        <v>33</v>
      </c>
      <c r="AB9" s="12"/>
      <c r="AC9" s="25" t="s">
        <v>43</v>
      </c>
      <c r="AD9" s="12" t="s">
        <v>30</v>
      </c>
      <c r="AE9" s="25" t="s">
        <v>12</v>
      </c>
      <c r="AF9" s="25" t="s">
        <v>14</v>
      </c>
      <c r="AG9" s="25" t="s">
        <v>33</v>
      </c>
      <c r="AH9" s="25" t="s">
        <v>32</v>
      </c>
      <c r="AI9" s="25" t="s">
        <v>39</v>
      </c>
      <c r="AJ9" s="344" t="s">
        <v>41</v>
      </c>
      <c r="AK9" s="37"/>
      <c r="AL9" s="25" t="s">
        <v>32</v>
      </c>
      <c r="AM9" s="25" t="s">
        <v>50</v>
      </c>
      <c r="AN9" s="25" t="s">
        <v>31</v>
      </c>
      <c r="AO9" s="25" t="s">
        <v>14</v>
      </c>
      <c r="AP9" s="25" t="s">
        <v>29</v>
      </c>
      <c r="AQ9" s="25" t="s">
        <v>30</v>
      </c>
      <c r="AR9" s="25" t="s">
        <v>12</v>
      </c>
      <c r="AS9" s="25" t="s">
        <v>36</v>
      </c>
      <c r="AT9" s="345"/>
    </row>
    <row r="10" s="26" customFormat="1" ht="47.1" customHeight="1" spans="1:46">
      <c r="A10" s="343" t="s">
        <v>51</v>
      </c>
      <c r="B10" s="25" t="s">
        <v>31</v>
      </c>
      <c r="C10" s="25" t="s">
        <v>29</v>
      </c>
      <c r="D10" s="25" t="s">
        <v>12</v>
      </c>
      <c r="E10" s="25" t="s">
        <v>32</v>
      </c>
      <c r="F10" s="25" t="s">
        <v>35</v>
      </c>
      <c r="G10" s="25" t="s">
        <v>14</v>
      </c>
      <c r="H10" s="25" t="s">
        <v>36</v>
      </c>
      <c r="I10" s="344" t="s">
        <v>34</v>
      </c>
      <c r="J10" s="12"/>
      <c r="K10" s="25" t="s">
        <v>12</v>
      </c>
      <c r="L10" s="25" t="s">
        <v>12</v>
      </c>
      <c r="M10" s="25" t="s">
        <v>35</v>
      </c>
      <c r="N10" s="25" t="s">
        <v>14</v>
      </c>
      <c r="O10" s="344" t="s">
        <v>40</v>
      </c>
      <c r="P10" s="25" t="s">
        <v>32</v>
      </c>
      <c r="Q10" s="25" t="s">
        <v>50</v>
      </c>
      <c r="R10" s="344" t="s">
        <v>37</v>
      </c>
      <c r="S10" s="12"/>
      <c r="T10" s="25" t="s">
        <v>14</v>
      </c>
      <c r="U10" s="25" t="s">
        <v>26</v>
      </c>
      <c r="V10" s="25" t="s">
        <v>29</v>
      </c>
      <c r="W10" s="25" t="s">
        <v>36</v>
      </c>
      <c r="X10" s="25" t="s">
        <v>12</v>
      </c>
      <c r="Y10" s="25" t="s">
        <v>30</v>
      </c>
      <c r="Z10" s="12" t="s">
        <v>33</v>
      </c>
      <c r="AA10" s="25" t="s">
        <v>32</v>
      </c>
      <c r="AB10" s="12"/>
      <c r="AC10" s="25" t="s">
        <v>12</v>
      </c>
      <c r="AD10" s="25" t="s">
        <v>39</v>
      </c>
      <c r="AE10" s="25" t="s">
        <v>30</v>
      </c>
      <c r="AF10" s="25" t="s">
        <v>33</v>
      </c>
      <c r="AG10" s="25" t="s">
        <v>14</v>
      </c>
      <c r="AH10" s="25" t="s">
        <v>29</v>
      </c>
      <c r="AI10" s="25" t="s">
        <v>32</v>
      </c>
      <c r="AJ10" s="344" t="s">
        <v>41</v>
      </c>
      <c r="AK10" s="12"/>
      <c r="AL10" s="25" t="s">
        <v>33</v>
      </c>
      <c r="AM10" s="25" t="s">
        <v>30</v>
      </c>
      <c r="AN10" s="25" t="s">
        <v>38</v>
      </c>
      <c r="AO10" s="25" t="s">
        <v>32</v>
      </c>
      <c r="AP10" s="25" t="s">
        <v>50</v>
      </c>
      <c r="AQ10" s="25" t="s">
        <v>43</v>
      </c>
      <c r="AR10" s="25" t="s">
        <v>14</v>
      </c>
      <c r="AS10" s="25" t="s">
        <v>12</v>
      </c>
      <c r="AT10" s="345"/>
    </row>
    <row r="11" s="26" customFormat="1" ht="47.1" customHeight="1" spans="1:46">
      <c r="A11" s="343" t="s">
        <v>52</v>
      </c>
      <c r="B11" s="25" t="s">
        <v>29</v>
      </c>
      <c r="C11" s="25" t="s">
        <v>30</v>
      </c>
      <c r="D11" s="25" t="s">
        <v>12</v>
      </c>
      <c r="E11" s="25" t="s">
        <v>33</v>
      </c>
      <c r="F11" s="25" t="s">
        <v>14</v>
      </c>
      <c r="G11" s="25" t="s">
        <v>32</v>
      </c>
      <c r="H11" s="12" t="s">
        <v>35</v>
      </c>
      <c r="I11" s="344" t="s">
        <v>34</v>
      </c>
      <c r="J11" s="12"/>
      <c r="K11" s="25" t="s">
        <v>12</v>
      </c>
      <c r="L11" s="25" t="s">
        <v>12</v>
      </c>
      <c r="M11" s="25" t="s">
        <v>14</v>
      </c>
      <c r="N11" s="25" t="s">
        <v>32</v>
      </c>
      <c r="O11" s="25" t="s">
        <v>53</v>
      </c>
      <c r="P11" s="25" t="s">
        <v>31</v>
      </c>
      <c r="Q11" s="25" t="s">
        <v>33</v>
      </c>
      <c r="R11" s="344" t="s">
        <v>37</v>
      </c>
      <c r="S11" s="37"/>
      <c r="T11" s="25" t="s">
        <v>14</v>
      </c>
      <c r="U11" s="25" t="s">
        <v>38</v>
      </c>
      <c r="V11" s="25" t="s">
        <v>12</v>
      </c>
      <c r="W11" s="25" t="s">
        <v>39</v>
      </c>
      <c r="X11" s="25" t="s">
        <v>36</v>
      </c>
      <c r="Y11" s="25" t="s">
        <v>33</v>
      </c>
      <c r="Z11" s="25" t="s">
        <v>32</v>
      </c>
      <c r="AA11" s="344" t="s">
        <v>40</v>
      </c>
      <c r="AB11" s="37"/>
      <c r="AC11" s="25" t="s">
        <v>32</v>
      </c>
      <c r="AD11" s="25" t="s">
        <v>14</v>
      </c>
      <c r="AE11" s="25" t="s">
        <v>12</v>
      </c>
      <c r="AF11" s="25" t="s">
        <v>35</v>
      </c>
      <c r="AG11" s="25" t="s">
        <v>29</v>
      </c>
      <c r="AH11" s="25" t="s">
        <v>36</v>
      </c>
      <c r="AI11" s="25" t="s">
        <v>30</v>
      </c>
      <c r="AJ11" s="344" t="s">
        <v>41</v>
      </c>
      <c r="AK11" s="12"/>
      <c r="AL11" s="25" t="s">
        <v>14</v>
      </c>
      <c r="AM11" s="25" t="s">
        <v>26</v>
      </c>
      <c r="AN11" s="25" t="s">
        <v>30</v>
      </c>
      <c r="AO11" s="25" t="s">
        <v>32</v>
      </c>
      <c r="AP11" s="25" t="s">
        <v>53</v>
      </c>
      <c r="AQ11" s="25" t="s">
        <v>12</v>
      </c>
      <c r="AR11" s="25" t="s">
        <v>43</v>
      </c>
      <c r="AS11" s="25" t="s">
        <v>29</v>
      </c>
      <c r="AT11" s="345"/>
    </row>
    <row r="12" s="26" customFormat="1" ht="47.1" customHeight="1" spans="1:46">
      <c r="A12" s="343" t="s">
        <v>54</v>
      </c>
      <c r="B12" s="25" t="s">
        <v>39</v>
      </c>
      <c r="C12" s="25" t="s">
        <v>32</v>
      </c>
      <c r="D12" s="25" t="s">
        <v>14</v>
      </c>
      <c r="E12" s="25" t="s">
        <v>31</v>
      </c>
      <c r="F12" s="25" t="s">
        <v>30</v>
      </c>
      <c r="G12" s="25" t="s">
        <v>12</v>
      </c>
      <c r="H12" s="25" t="s">
        <v>33</v>
      </c>
      <c r="I12" s="344" t="s">
        <v>34</v>
      </c>
      <c r="J12" s="37"/>
      <c r="K12" s="25" t="s">
        <v>32</v>
      </c>
      <c r="L12" s="25" t="s">
        <v>53</v>
      </c>
      <c r="M12" s="25" t="s">
        <v>29</v>
      </c>
      <c r="N12" s="25" t="s">
        <v>12</v>
      </c>
      <c r="O12" s="25" t="s">
        <v>12</v>
      </c>
      <c r="P12" s="12" t="s">
        <v>14</v>
      </c>
      <c r="Q12" s="25" t="s">
        <v>35</v>
      </c>
      <c r="R12" s="344" t="s">
        <v>37</v>
      </c>
      <c r="S12" s="37"/>
      <c r="T12" s="25" t="s">
        <v>29</v>
      </c>
      <c r="U12" s="25" t="s">
        <v>43</v>
      </c>
      <c r="V12" s="25" t="s">
        <v>30</v>
      </c>
      <c r="W12" s="25" t="s">
        <v>14</v>
      </c>
      <c r="X12" s="25" t="s">
        <v>12</v>
      </c>
      <c r="Y12" s="25" t="s">
        <v>32</v>
      </c>
      <c r="Z12" s="25" t="s">
        <v>33</v>
      </c>
      <c r="AA12" s="344" t="s">
        <v>40</v>
      </c>
      <c r="AB12" s="37"/>
      <c r="AC12" s="25" t="s">
        <v>35</v>
      </c>
      <c r="AD12" s="25" t="s">
        <v>12</v>
      </c>
      <c r="AE12" s="25" t="s">
        <v>14</v>
      </c>
      <c r="AF12" s="25" t="s">
        <v>32</v>
      </c>
      <c r="AG12" s="25" t="s">
        <v>38</v>
      </c>
      <c r="AH12" s="25" t="s">
        <v>30</v>
      </c>
      <c r="AI12" s="25" t="s">
        <v>36</v>
      </c>
      <c r="AJ12" s="344" t="s">
        <v>41</v>
      </c>
      <c r="AK12" s="12"/>
      <c r="AL12" s="25" t="s">
        <v>32</v>
      </c>
      <c r="AM12" s="25" t="s">
        <v>53</v>
      </c>
      <c r="AN12" s="25" t="s">
        <v>29</v>
      </c>
      <c r="AO12" s="25" t="s">
        <v>14</v>
      </c>
      <c r="AP12" s="25" t="s">
        <v>26</v>
      </c>
      <c r="AQ12" s="25" t="s">
        <v>33</v>
      </c>
      <c r="AR12" s="25" t="s">
        <v>36</v>
      </c>
      <c r="AS12" s="25" t="s">
        <v>12</v>
      </c>
      <c r="AT12" s="345"/>
    </row>
    <row r="13" s="26" customFormat="1" ht="47.1" customHeight="1" spans="1:46">
      <c r="A13" s="343" t="s">
        <v>55</v>
      </c>
      <c r="B13" s="25" t="s">
        <v>32</v>
      </c>
      <c r="C13" s="25" t="s">
        <v>30</v>
      </c>
      <c r="D13" s="25" t="s">
        <v>33</v>
      </c>
      <c r="E13" s="25" t="s">
        <v>36</v>
      </c>
      <c r="F13" s="25" t="s">
        <v>43</v>
      </c>
      <c r="G13" s="25" t="s">
        <v>12</v>
      </c>
      <c r="H13" s="25" t="s">
        <v>14</v>
      </c>
      <c r="I13" s="344" t="s">
        <v>34</v>
      </c>
      <c r="J13" s="37"/>
      <c r="K13" s="25" t="s">
        <v>12</v>
      </c>
      <c r="L13" s="25" t="s">
        <v>12</v>
      </c>
      <c r="M13" s="25" t="s">
        <v>29</v>
      </c>
      <c r="N13" s="25" t="s">
        <v>14</v>
      </c>
      <c r="O13" s="25" t="s">
        <v>32</v>
      </c>
      <c r="P13" s="25" t="s">
        <v>35</v>
      </c>
      <c r="Q13" s="25" t="s">
        <v>31</v>
      </c>
      <c r="R13" s="344" t="s">
        <v>37</v>
      </c>
      <c r="S13" s="37"/>
      <c r="T13" s="25" t="s">
        <v>14</v>
      </c>
      <c r="U13" s="25" t="s">
        <v>26</v>
      </c>
      <c r="V13" s="25" t="s">
        <v>29</v>
      </c>
      <c r="W13" s="25" t="s">
        <v>12</v>
      </c>
      <c r="X13" s="25" t="s">
        <v>38</v>
      </c>
      <c r="Y13" s="25" t="s">
        <v>32</v>
      </c>
      <c r="Z13" s="12" t="s">
        <v>35</v>
      </c>
      <c r="AA13" s="344" t="s">
        <v>40</v>
      </c>
      <c r="AB13" s="12"/>
      <c r="AC13" s="25" t="s">
        <v>32</v>
      </c>
      <c r="AD13" s="25" t="s">
        <v>56</v>
      </c>
      <c r="AE13" s="25" t="s">
        <v>12</v>
      </c>
      <c r="AF13" s="25" t="s">
        <v>30</v>
      </c>
      <c r="AG13" s="25" t="s">
        <v>39</v>
      </c>
      <c r="AH13" s="25" t="s">
        <v>33</v>
      </c>
      <c r="AI13" s="25" t="s">
        <v>14</v>
      </c>
      <c r="AJ13" s="344" t="s">
        <v>41</v>
      </c>
      <c r="AK13" s="37"/>
      <c r="AL13" s="25" t="s">
        <v>32</v>
      </c>
      <c r="AM13" s="25" t="s">
        <v>56</v>
      </c>
      <c r="AN13" s="25" t="s">
        <v>30</v>
      </c>
      <c r="AO13" s="25" t="s">
        <v>29</v>
      </c>
      <c r="AP13" s="25" t="s">
        <v>14</v>
      </c>
      <c r="AQ13" s="25" t="s">
        <v>12</v>
      </c>
      <c r="AR13" s="25" t="s">
        <v>33</v>
      </c>
      <c r="AS13" s="25" t="s">
        <v>36</v>
      </c>
      <c r="AT13" s="345"/>
    </row>
    <row r="14" s="26" customFormat="1" ht="47.1" customHeight="1" spans="1:46">
      <c r="A14" s="343" t="s">
        <v>57</v>
      </c>
      <c r="B14" s="25" t="s">
        <v>14</v>
      </c>
      <c r="C14" s="25" t="s">
        <v>12</v>
      </c>
      <c r="D14" s="12" t="s">
        <v>39</v>
      </c>
      <c r="E14" s="25" t="s">
        <v>32</v>
      </c>
      <c r="F14" s="25" t="s">
        <v>36</v>
      </c>
      <c r="G14" s="25" t="s">
        <v>33</v>
      </c>
      <c r="H14" s="25" t="s">
        <v>29</v>
      </c>
      <c r="I14" s="344" t="s">
        <v>34</v>
      </c>
      <c r="J14" s="37"/>
      <c r="K14" s="25" t="s">
        <v>14</v>
      </c>
      <c r="L14" s="25" t="s">
        <v>29</v>
      </c>
      <c r="M14" s="25" t="s">
        <v>32</v>
      </c>
      <c r="N14" s="25" t="s">
        <v>12</v>
      </c>
      <c r="O14" s="25" t="s">
        <v>12</v>
      </c>
      <c r="P14" s="25" t="s">
        <v>33</v>
      </c>
      <c r="Q14" s="25" t="s">
        <v>30</v>
      </c>
      <c r="R14" s="344" t="s">
        <v>37</v>
      </c>
      <c r="S14" s="37"/>
      <c r="T14" s="25" t="s">
        <v>36</v>
      </c>
      <c r="U14" s="25" t="s">
        <v>30</v>
      </c>
      <c r="V14" s="25" t="s">
        <v>12</v>
      </c>
      <c r="W14" s="25" t="s">
        <v>14</v>
      </c>
      <c r="X14" s="25" t="s">
        <v>26</v>
      </c>
      <c r="Y14" s="25" t="s">
        <v>35</v>
      </c>
      <c r="Z14" s="25" t="s">
        <v>32</v>
      </c>
      <c r="AA14" s="344" t="s">
        <v>40</v>
      </c>
      <c r="AB14" s="12"/>
      <c r="AC14" s="25" t="s">
        <v>12</v>
      </c>
      <c r="AD14" s="25" t="s">
        <v>33</v>
      </c>
      <c r="AE14" s="25" t="s">
        <v>14</v>
      </c>
      <c r="AF14" s="25" t="s">
        <v>38</v>
      </c>
      <c r="AG14" s="25" t="s">
        <v>30</v>
      </c>
      <c r="AH14" s="25" t="s">
        <v>32</v>
      </c>
      <c r="AI14" s="25" t="s">
        <v>56</v>
      </c>
      <c r="AJ14" s="344" t="s">
        <v>41</v>
      </c>
      <c r="AK14" s="12"/>
      <c r="AL14" s="25" t="s">
        <v>29</v>
      </c>
      <c r="AM14" s="25" t="s">
        <v>43</v>
      </c>
      <c r="AN14" s="25" t="s">
        <v>14</v>
      </c>
      <c r="AO14" s="25" t="s">
        <v>32</v>
      </c>
      <c r="AP14" s="25" t="s">
        <v>56</v>
      </c>
      <c r="AQ14" s="25" t="s">
        <v>31</v>
      </c>
      <c r="AR14" s="25" t="s">
        <v>12</v>
      </c>
      <c r="AS14" s="25" t="s">
        <v>35</v>
      </c>
      <c r="AT14" s="345"/>
    </row>
    <row r="15" s="26" customFormat="1" ht="47.1" customHeight="1" spans="1:46">
      <c r="A15" s="343" t="s">
        <v>58</v>
      </c>
      <c r="B15" s="25" t="s">
        <v>29</v>
      </c>
      <c r="C15" s="25" t="s">
        <v>38</v>
      </c>
      <c r="D15" s="25" t="s">
        <v>32</v>
      </c>
      <c r="E15" s="25" t="s">
        <v>33</v>
      </c>
      <c r="F15" s="25" t="s">
        <v>14</v>
      </c>
      <c r="G15" s="25" t="s">
        <v>30</v>
      </c>
      <c r="H15" s="25" t="s">
        <v>12</v>
      </c>
      <c r="I15" s="344" t="s">
        <v>34</v>
      </c>
      <c r="J15" s="37"/>
      <c r="K15" s="25" t="s">
        <v>12</v>
      </c>
      <c r="L15" s="25" t="s">
        <v>12</v>
      </c>
      <c r="M15" s="25" t="s">
        <v>14</v>
      </c>
      <c r="N15" s="25" t="s">
        <v>59</v>
      </c>
      <c r="O15" s="25" t="s">
        <v>32</v>
      </c>
      <c r="P15" s="25" t="s">
        <v>33</v>
      </c>
      <c r="Q15" s="25" t="s">
        <v>36</v>
      </c>
      <c r="R15" s="344" t="s">
        <v>37</v>
      </c>
      <c r="S15" s="12"/>
      <c r="T15" s="25" t="s">
        <v>14</v>
      </c>
      <c r="U15" s="25" t="s">
        <v>26</v>
      </c>
      <c r="V15" s="25" t="s">
        <v>12</v>
      </c>
      <c r="W15" s="25" t="s">
        <v>29</v>
      </c>
      <c r="X15" s="25" t="s">
        <v>30</v>
      </c>
      <c r="Y15" s="25" t="s">
        <v>32</v>
      </c>
      <c r="Z15" s="25" t="s">
        <v>35</v>
      </c>
      <c r="AA15" s="344" t="s">
        <v>40</v>
      </c>
      <c r="AB15" s="12"/>
      <c r="AC15" s="25" t="s">
        <v>32</v>
      </c>
      <c r="AD15" s="25" t="s">
        <v>33</v>
      </c>
      <c r="AE15" s="25" t="s">
        <v>43</v>
      </c>
      <c r="AF15" s="25" t="s">
        <v>39</v>
      </c>
      <c r="AG15" s="25" t="s">
        <v>12</v>
      </c>
      <c r="AH15" s="25" t="s">
        <v>29</v>
      </c>
      <c r="AI15" s="25" t="s">
        <v>14</v>
      </c>
      <c r="AJ15" s="344" t="s">
        <v>41</v>
      </c>
      <c r="AK15" s="12"/>
      <c r="AL15" s="25" t="s">
        <v>14</v>
      </c>
      <c r="AM15" s="25" t="s">
        <v>30</v>
      </c>
      <c r="AN15" s="25" t="s">
        <v>35</v>
      </c>
      <c r="AO15" s="25" t="s">
        <v>32</v>
      </c>
      <c r="AP15" s="25" t="s">
        <v>59</v>
      </c>
      <c r="AQ15" s="25" t="s">
        <v>36</v>
      </c>
      <c r="AR15" s="25" t="s">
        <v>31</v>
      </c>
      <c r="AS15" s="12" t="s">
        <v>12</v>
      </c>
      <c r="AT15" s="345"/>
    </row>
    <row r="16" s="26" customFormat="1" ht="47.1" customHeight="1" spans="1:46">
      <c r="A16" s="343" t="s">
        <v>60</v>
      </c>
      <c r="B16" s="25" t="s">
        <v>32</v>
      </c>
      <c r="C16" s="25" t="s">
        <v>43</v>
      </c>
      <c r="D16" s="25" t="s">
        <v>14</v>
      </c>
      <c r="E16" s="25" t="s">
        <v>38</v>
      </c>
      <c r="F16" s="25" t="s">
        <v>12</v>
      </c>
      <c r="G16" s="25" t="s">
        <v>35</v>
      </c>
      <c r="H16" s="25" t="s">
        <v>36</v>
      </c>
      <c r="I16" s="344" t="s">
        <v>34</v>
      </c>
      <c r="J16" s="37"/>
      <c r="K16" s="25" t="s">
        <v>32</v>
      </c>
      <c r="L16" s="25" t="s">
        <v>59</v>
      </c>
      <c r="M16" s="25" t="s">
        <v>33</v>
      </c>
      <c r="N16" s="25" t="s">
        <v>12</v>
      </c>
      <c r="O16" s="25" t="s">
        <v>12</v>
      </c>
      <c r="P16" s="25" t="s">
        <v>14</v>
      </c>
      <c r="Q16" s="25" t="s">
        <v>29</v>
      </c>
      <c r="R16" s="344" t="s">
        <v>37</v>
      </c>
      <c r="S16" s="12"/>
      <c r="T16" s="25" t="s">
        <v>29</v>
      </c>
      <c r="U16" s="25" t="s">
        <v>12</v>
      </c>
      <c r="V16" s="25" t="s">
        <v>30</v>
      </c>
      <c r="W16" s="25" t="s">
        <v>14</v>
      </c>
      <c r="X16" s="25" t="s">
        <v>26</v>
      </c>
      <c r="Y16" s="25" t="s">
        <v>31</v>
      </c>
      <c r="Z16" s="25" t="s">
        <v>32</v>
      </c>
      <c r="AA16" s="344" t="s">
        <v>40</v>
      </c>
      <c r="AB16" s="37"/>
      <c r="AC16" s="25" t="s">
        <v>12</v>
      </c>
      <c r="AD16" s="25" t="s">
        <v>14</v>
      </c>
      <c r="AE16" s="25" t="s">
        <v>36</v>
      </c>
      <c r="AF16" s="25" t="s">
        <v>32</v>
      </c>
      <c r="AG16" s="25" t="s">
        <v>33</v>
      </c>
      <c r="AH16" s="25" t="s">
        <v>35</v>
      </c>
      <c r="AI16" s="25" t="s">
        <v>30</v>
      </c>
      <c r="AJ16" s="344" t="s">
        <v>41</v>
      </c>
      <c r="AK16" s="37"/>
      <c r="AL16" s="25" t="s">
        <v>59</v>
      </c>
      <c r="AM16" s="25" t="s">
        <v>32</v>
      </c>
      <c r="AN16" s="25" t="s">
        <v>39</v>
      </c>
      <c r="AO16" s="25" t="s">
        <v>14</v>
      </c>
      <c r="AP16" s="25" t="s">
        <v>29</v>
      </c>
      <c r="AQ16" s="12" t="s">
        <v>12</v>
      </c>
      <c r="AR16" s="25" t="s">
        <v>33</v>
      </c>
      <c r="AS16" s="25" t="s">
        <v>30</v>
      </c>
      <c r="AT16" s="345"/>
    </row>
    <row r="17" s="26" customFormat="1" ht="47.1" customHeight="1" spans="1:46">
      <c r="A17" s="343" t="s">
        <v>61</v>
      </c>
      <c r="B17" s="25" t="s">
        <v>14</v>
      </c>
      <c r="C17" s="25" t="s">
        <v>33</v>
      </c>
      <c r="D17" s="25" t="s">
        <v>32</v>
      </c>
      <c r="E17" s="25" t="s">
        <v>12</v>
      </c>
      <c r="F17" s="25" t="s">
        <v>39</v>
      </c>
      <c r="G17" s="25" t="s">
        <v>29</v>
      </c>
      <c r="H17" s="25" t="s">
        <v>35</v>
      </c>
      <c r="I17" s="344" t="s">
        <v>34</v>
      </c>
      <c r="J17" s="37"/>
      <c r="K17" s="25" t="s">
        <v>12</v>
      </c>
      <c r="L17" s="25" t="s">
        <v>12</v>
      </c>
      <c r="M17" s="25" t="s">
        <v>14</v>
      </c>
      <c r="N17" s="25" t="s">
        <v>62</v>
      </c>
      <c r="O17" s="25" t="s">
        <v>32</v>
      </c>
      <c r="P17" s="12" t="s">
        <v>38</v>
      </c>
      <c r="Q17" s="25" t="s">
        <v>43</v>
      </c>
      <c r="R17" s="344" t="s">
        <v>37</v>
      </c>
      <c r="S17" s="25"/>
      <c r="T17" s="25" t="s">
        <v>29</v>
      </c>
      <c r="U17" s="25" t="s">
        <v>12</v>
      </c>
      <c r="V17" s="25" t="s">
        <v>30</v>
      </c>
      <c r="W17" s="25" t="s">
        <v>14</v>
      </c>
      <c r="X17" s="25" t="s">
        <v>26</v>
      </c>
      <c r="Y17" s="25" t="s">
        <v>32</v>
      </c>
      <c r="Z17" s="25" t="s">
        <v>33</v>
      </c>
      <c r="AA17" s="25" t="s">
        <v>36</v>
      </c>
      <c r="AB17" s="25"/>
      <c r="AC17" s="25" t="s">
        <v>31</v>
      </c>
      <c r="AD17" s="25" t="s">
        <v>32</v>
      </c>
      <c r="AE17" s="25" t="s">
        <v>62</v>
      </c>
      <c r="AF17" s="25" t="s">
        <v>12</v>
      </c>
      <c r="AG17" s="25" t="s">
        <v>14</v>
      </c>
      <c r="AH17" s="25" t="s">
        <v>30</v>
      </c>
      <c r="AI17" s="25" t="s">
        <v>35</v>
      </c>
      <c r="AJ17" s="344" t="s">
        <v>41</v>
      </c>
      <c r="AK17" s="12"/>
      <c r="AL17" s="25" t="s">
        <v>32</v>
      </c>
      <c r="AM17" s="25" t="s">
        <v>29</v>
      </c>
      <c r="AN17" s="25" t="s">
        <v>30</v>
      </c>
      <c r="AO17" s="25" t="s">
        <v>14</v>
      </c>
      <c r="AP17" s="25" t="s">
        <v>33</v>
      </c>
      <c r="AQ17" s="25" t="s">
        <v>36</v>
      </c>
      <c r="AR17" s="25" t="s">
        <v>12</v>
      </c>
      <c r="AS17" s="344" t="s">
        <v>40</v>
      </c>
      <c r="AT17" s="345"/>
    </row>
    <row r="18" s="26" customFormat="1" ht="47.1" customHeight="1" spans="1:46">
      <c r="A18" s="343" t="s">
        <v>63</v>
      </c>
      <c r="B18" s="25" t="s">
        <v>32</v>
      </c>
      <c r="C18" s="25" t="s">
        <v>31</v>
      </c>
      <c r="D18" s="25" t="s">
        <v>36</v>
      </c>
      <c r="E18" s="25" t="s">
        <v>29</v>
      </c>
      <c r="F18" s="25" t="s">
        <v>12</v>
      </c>
      <c r="G18" s="25" t="s">
        <v>14</v>
      </c>
      <c r="H18" s="25" t="s">
        <v>33</v>
      </c>
      <c r="I18" s="344" t="s">
        <v>34</v>
      </c>
      <c r="J18" s="37"/>
      <c r="K18" s="25" t="s">
        <v>32</v>
      </c>
      <c r="L18" s="25" t="s">
        <v>62</v>
      </c>
      <c r="M18" s="25" t="s">
        <v>35</v>
      </c>
      <c r="N18" s="25" t="s">
        <v>12</v>
      </c>
      <c r="O18" s="25" t="s">
        <v>12</v>
      </c>
      <c r="P18" s="25" t="s">
        <v>29</v>
      </c>
      <c r="Q18" s="25" t="s">
        <v>14</v>
      </c>
      <c r="R18" s="344" t="s">
        <v>37</v>
      </c>
      <c r="S18" s="12"/>
      <c r="T18" s="25" t="s">
        <v>14</v>
      </c>
      <c r="U18" s="25" t="s">
        <v>26</v>
      </c>
      <c r="V18" s="25" t="s">
        <v>12</v>
      </c>
      <c r="W18" s="25" t="s">
        <v>36</v>
      </c>
      <c r="X18" s="12" t="s">
        <v>39</v>
      </c>
      <c r="Y18" s="25" t="s">
        <v>33</v>
      </c>
      <c r="Z18" s="25" t="s">
        <v>32</v>
      </c>
      <c r="AA18" s="25" t="s">
        <v>30</v>
      </c>
      <c r="AB18" s="37"/>
      <c r="AC18" s="25" t="s">
        <v>12</v>
      </c>
      <c r="AD18" s="25" t="s">
        <v>14</v>
      </c>
      <c r="AE18" s="25" t="s">
        <v>35</v>
      </c>
      <c r="AF18" s="25" t="s">
        <v>30</v>
      </c>
      <c r="AG18" s="25" t="s">
        <v>38</v>
      </c>
      <c r="AH18" s="25" t="s">
        <v>32</v>
      </c>
      <c r="AI18" s="25" t="s">
        <v>62</v>
      </c>
      <c r="AJ18" s="344" t="s">
        <v>41</v>
      </c>
      <c r="AK18" s="25"/>
      <c r="AL18" s="25" t="s">
        <v>29</v>
      </c>
      <c r="AM18" s="25" t="s">
        <v>33</v>
      </c>
      <c r="AN18" s="25" t="s">
        <v>32</v>
      </c>
      <c r="AO18" s="25" t="s">
        <v>43</v>
      </c>
      <c r="AP18" s="25" t="s">
        <v>14</v>
      </c>
      <c r="AQ18" s="25" t="s">
        <v>12</v>
      </c>
      <c r="AR18" s="25" t="s">
        <v>30</v>
      </c>
      <c r="AS18" s="344" t="s">
        <v>40</v>
      </c>
      <c r="AT18" s="345"/>
    </row>
    <row r="19" s="26" customFormat="1" ht="47.1" customHeight="1" spans="1:46">
      <c r="A19" s="343" t="s">
        <v>64</v>
      </c>
      <c r="B19" s="25" t="s">
        <v>32</v>
      </c>
      <c r="C19" s="25" t="s">
        <v>43</v>
      </c>
      <c r="D19" s="25" t="s">
        <v>14</v>
      </c>
      <c r="E19" s="25" t="s">
        <v>39</v>
      </c>
      <c r="F19" s="25" t="s">
        <v>12</v>
      </c>
      <c r="G19" s="25" t="s">
        <v>36</v>
      </c>
      <c r="H19" s="25" t="s">
        <v>30</v>
      </c>
      <c r="I19" s="344" t="s">
        <v>34</v>
      </c>
      <c r="J19" s="37"/>
      <c r="K19" s="25" t="s">
        <v>12</v>
      </c>
      <c r="L19" s="25" t="s">
        <v>31</v>
      </c>
      <c r="M19" s="25" t="s">
        <v>33</v>
      </c>
      <c r="N19" s="25" t="s">
        <v>65</v>
      </c>
      <c r="O19" s="25" t="s">
        <v>32</v>
      </c>
      <c r="P19" s="25" t="s">
        <v>35</v>
      </c>
      <c r="Q19" s="25" t="s">
        <v>14</v>
      </c>
      <c r="R19" s="344" t="s">
        <v>37</v>
      </c>
      <c r="S19" s="12"/>
      <c r="T19" s="25" t="s">
        <v>14</v>
      </c>
      <c r="U19" s="25" t="s">
        <v>26</v>
      </c>
      <c r="V19" s="25" t="s">
        <v>29</v>
      </c>
      <c r="W19" s="25" t="s">
        <v>12</v>
      </c>
      <c r="X19" s="25" t="s">
        <v>12</v>
      </c>
      <c r="Y19" s="25" t="s">
        <v>30</v>
      </c>
      <c r="Z19" s="25" t="s">
        <v>33</v>
      </c>
      <c r="AA19" s="25" t="s">
        <v>32</v>
      </c>
      <c r="AB19" s="12"/>
      <c r="AC19" s="25" t="s">
        <v>36</v>
      </c>
      <c r="AD19" s="25" t="s">
        <v>32</v>
      </c>
      <c r="AE19" s="25" t="s">
        <v>66</v>
      </c>
      <c r="AF19" s="25" t="s">
        <v>12</v>
      </c>
      <c r="AG19" s="25" t="s">
        <v>14</v>
      </c>
      <c r="AH19" s="25" t="s">
        <v>33</v>
      </c>
      <c r="AI19" s="25" t="s">
        <v>29</v>
      </c>
      <c r="AJ19" s="344" t="s">
        <v>41</v>
      </c>
      <c r="AK19" s="12"/>
      <c r="AL19" s="25" t="s">
        <v>14</v>
      </c>
      <c r="AM19" s="25" t="s">
        <v>35</v>
      </c>
      <c r="AN19" s="25" t="s">
        <v>38</v>
      </c>
      <c r="AO19" s="25" t="s">
        <v>32</v>
      </c>
      <c r="AP19" s="25" t="s">
        <v>29</v>
      </c>
      <c r="AQ19" s="25" t="s">
        <v>30</v>
      </c>
      <c r="AR19" s="25" t="s">
        <v>12</v>
      </c>
      <c r="AS19" s="11" t="s">
        <v>40</v>
      </c>
      <c r="AT19" s="345"/>
    </row>
    <row r="20" s="26" customFormat="1" ht="47.1" customHeight="1" spans="1:46">
      <c r="A20" s="343" t="s">
        <v>67</v>
      </c>
      <c r="B20" s="25" t="s">
        <v>14</v>
      </c>
      <c r="C20" s="25" t="s">
        <v>35</v>
      </c>
      <c r="D20" s="25" t="s">
        <v>32</v>
      </c>
      <c r="E20" s="25" t="s">
        <v>12</v>
      </c>
      <c r="F20" s="25" t="s">
        <v>30</v>
      </c>
      <c r="G20" s="25" t="s">
        <v>33</v>
      </c>
      <c r="H20" s="25" t="s">
        <v>29</v>
      </c>
      <c r="I20" s="344" t="s">
        <v>34</v>
      </c>
      <c r="J20" s="12"/>
      <c r="K20" s="25" t="s">
        <v>32</v>
      </c>
      <c r="L20" s="25" t="s">
        <v>66</v>
      </c>
      <c r="M20" s="25" t="s">
        <v>31</v>
      </c>
      <c r="N20" s="25" t="s">
        <v>12</v>
      </c>
      <c r="O20" s="25" t="s">
        <v>14</v>
      </c>
      <c r="P20" s="25" t="s">
        <v>33</v>
      </c>
      <c r="Q20" s="25" t="s">
        <v>36</v>
      </c>
      <c r="R20" s="344" t="s">
        <v>37</v>
      </c>
      <c r="S20" s="37"/>
      <c r="T20" s="25" t="s">
        <v>29</v>
      </c>
      <c r="U20" s="25" t="s">
        <v>43</v>
      </c>
      <c r="V20" s="25" t="s">
        <v>30</v>
      </c>
      <c r="W20" s="25" t="s">
        <v>26</v>
      </c>
      <c r="X20" s="25" t="s">
        <v>14</v>
      </c>
      <c r="Y20" s="25" t="s">
        <v>32</v>
      </c>
      <c r="Z20" s="25" t="s">
        <v>12</v>
      </c>
      <c r="AA20" s="25" t="s">
        <v>12</v>
      </c>
      <c r="AB20" s="12"/>
      <c r="AC20" s="25" t="s">
        <v>12</v>
      </c>
      <c r="AD20" s="25" t="s">
        <v>38</v>
      </c>
      <c r="AE20" s="25" t="s">
        <v>14</v>
      </c>
      <c r="AF20" s="25" t="s">
        <v>33</v>
      </c>
      <c r="AG20" s="25" t="s">
        <v>29</v>
      </c>
      <c r="AH20" s="25" t="s">
        <v>32</v>
      </c>
      <c r="AI20" s="25" t="s">
        <v>66</v>
      </c>
      <c r="AJ20" s="344" t="s">
        <v>41</v>
      </c>
      <c r="AK20" s="12"/>
      <c r="AL20" s="25" t="s">
        <v>35</v>
      </c>
      <c r="AM20" s="25" t="s">
        <v>39</v>
      </c>
      <c r="AN20" s="25" t="s">
        <v>14</v>
      </c>
      <c r="AO20" s="25" t="s">
        <v>30</v>
      </c>
      <c r="AP20" s="25" t="s">
        <v>32</v>
      </c>
      <c r="AQ20" s="12" t="s">
        <v>12</v>
      </c>
      <c r="AR20" s="25" t="s">
        <v>36</v>
      </c>
      <c r="AS20" s="344" t="s">
        <v>40</v>
      </c>
      <c r="AT20" s="345"/>
    </row>
    <row r="21" s="26" customFormat="1" ht="47.1" customHeight="1" spans="1:46">
      <c r="A21" s="343" t="s">
        <v>68</v>
      </c>
      <c r="B21" s="25" t="s">
        <v>12</v>
      </c>
      <c r="C21" s="25" t="s">
        <v>32</v>
      </c>
      <c r="D21" s="25" t="s">
        <v>35</v>
      </c>
      <c r="E21" s="25" t="s">
        <v>38</v>
      </c>
      <c r="F21" s="25" t="s">
        <v>14</v>
      </c>
      <c r="G21" s="25" t="s">
        <v>29</v>
      </c>
      <c r="H21" s="12" t="s">
        <v>33</v>
      </c>
      <c r="I21" s="344" t="s">
        <v>34</v>
      </c>
      <c r="J21" s="12"/>
      <c r="K21" s="25" t="s">
        <v>32</v>
      </c>
      <c r="L21" s="25" t="s">
        <v>69</v>
      </c>
      <c r="M21" s="25" t="s">
        <v>29</v>
      </c>
      <c r="N21" s="25" t="s">
        <v>12</v>
      </c>
      <c r="O21" s="25" t="s">
        <v>12</v>
      </c>
      <c r="P21" s="25" t="s">
        <v>36</v>
      </c>
      <c r="Q21" s="25" t="s">
        <v>14</v>
      </c>
      <c r="R21" s="344" t="s">
        <v>37</v>
      </c>
      <c r="S21" s="37"/>
      <c r="T21" s="25" t="s">
        <v>43</v>
      </c>
      <c r="U21" s="25" t="s">
        <v>36</v>
      </c>
      <c r="V21" s="25" t="s">
        <v>12</v>
      </c>
      <c r="W21" s="25" t="s">
        <v>14</v>
      </c>
      <c r="X21" s="25" t="s">
        <v>26</v>
      </c>
      <c r="Y21" s="25" t="s">
        <v>35</v>
      </c>
      <c r="Z21" s="25" t="s">
        <v>30</v>
      </c>
      <c r="AA21" s="25" t="s">
        <v>32</v>
      </c>
      <c r="AB21" s="37"/>
      <c r="AC21" s="25" t="s">
        <v>12</v>
      </c>
      <c r="AD21" s="25" t="s">
        <v>14</v>
      </c>
      <c r="AE21" s="25" t="s">
        <v>30</v>
      </c>
      <c r="AF21" s="25" t="s">
        <v>32</v>
      </c>
      <c r="AG21" s="25" t="s">
        <v>69</v>
      </c>
      <c r="AH21" s="25" t="s">
        <v>31</v>
      </c>
      <c r="AI21" s="25" t="s">
        <v>33</v>
      </c>
      <c r="AJ21" s="344" t="s">
        <v>41</v>
      </c>
      <c r="AK21" s="37"/>
      <c r="AL21" s="25" t="s">
        <v>14</v>
      </c>
      <c r="AM21" s="25" t="s">
        <v>32</v>
      </c>
      <c r="AN21" s="25" t="s">
        <v>39</v>
      </c>
      <c r="AO21" s="25" t="s">
        <v>29</v>
      </c>
      <c r="AP21" s="25" t="s">
        <v>30</v>
      </c>
      <c r="AQ21" s="25" t="s">
        <v>33</v>
      </c>
      <c r="AR21" s="25" t="s">
        <v>12</v>
      </c>
      <c r="AS21" s="344" t="s">
        <v>40</v>
      </c>
      <c r="AT21" s="345"/>
    </row>
    <row r="22" s="26" customFormat="1" ht="47.1" customHeight="1" spans="1:46">
      <c r="A22" s="343" t="s">
        <v>70</v>
      </c>
      <c r="B22" s="25" t="s">
        <v>31</v>
      </c>
      <c r="C22" s="25" t="s">
        <v>14</v>
      </c>
      <c r="D22" s="25" t="s">
        <v>12</v>
      </c>
      <c r="E22" s="25" t="s">
        <v>33</v>
      </c>
      <c r="F22" s="12" t="s">
        <v>32</v>
      </c>
      <c r="G22" s="25" t="s">
        <v>30</v>
      </c>
      <c r="H22" s="25" t="s">
        <v>38</v>
      </c>
      <c r="I22" s="344" t="s">
        <v>34</v>
      </c>
      <c r="J22" s="37"/>
      <c r="K22" s="25" t="s">
        <v>12</v>
      </c>
      <c r="L22" s="25" t="s">
        <v>12</v>
      </c>
      <c r="M22" s="25" t="s">
        <v>35</v>
      </c>
      <c r="N22" s="25" t="s">
        <v>32</v>
      </c>
      <c r="O22" s="25" t="s">
        <v>69</v>
      </c>
      <c r="P22" s="25" t="s">
        <v>14</v>
      </c>
      <c r="Q22" s="25" t="s">
        <v>30</v>
      </c>
      <c r="R22" s="344" t="s">
        <v>37</v>
      </c>
      <c r="S22" s="12"/>
      <c r="T22" s="25" t="s">
        <v>14</v>
      </c>
      <c r="U22" s="25" t="s">
        <v>26</v>
      </c>
      <c r="V22" s="25" t="s">
        <v>29</v>
      </c>
      <c r="W22" s="25" t="s">
        <v>39</v>
      </c>
      <c r="X22" s="25" t="s">
        <v>12</v>
      </c>
      <c r="Y22" s="25" t="s">
        <v>33</v>
      </c>
      <c r="Z22" s="25" t="s">
        <v>32</v>
      </c>
      <c r="AA22" s="25" t="s">
        <v>43</v>
      </c>
      <c r="AB22" s="37"/>
      <c r="AC22" s="25" t="s">
        <v>32</v>
      </c>
      <c r="AD22" s="25" t="s">
        <v>69</v>
      </c>
      <c r="AE22" s="25" t="s">
        <v>12</v>
      </c>
      <c r="AF22" s="25" t="s">
        <v>29</v>
      </c>
      <c r="AG22" s="25" t="s">
        <v>14</v>
      </c>
      <c r="AH22" s="25" t="s">
        <v>30</v>
      </c>
      <c r="AI22" s="25" t="s">
        <v>36</v>
      </c>
      <c r="AJ22" s="344" t="s">
        <v>41</v>
      </c>
      <c r="AK22" s="25"/>
      <c r="AL22" s="25" t="s">
        <v>29</v>
      </c>
      <c r="AM22" s="25" t="s">
        <v>35</v>
      </c>
      <c r="AN22" s="25" t="s">
        <v>33</v>
      </c>
      <c r="AO22" s="25" t="s">
        <v>14</v>
      </c>
      <c r="AP22" s="25" t="s">
        <v>32</v>
      </c>
      <c r="AQ22" s="25" t="s">
        <v>12</v>
      </c>
      <c r="AR22" s="25" t="s">
        <v>36</v>
      </c>
      <c r="AS22" s="344" t="s">
        <v>40</v>
      </c>
      <c r="AT22" s="345"/>
    </row>
    <row r="23" s="7" customFormat="1" ht="47.1" customHeight="1" spans="1:46">
      <c r="A23" s="343" t="s">
        <v>71</v>
      </c>
      <c r="B23" s="25" t="s">
        <v>14</v>
      </c>
      <c r="C23" s="25" t="s">
        <v>32</v>
      </c>
      <c r="D23" s="25" t="s">
        <v>30</v>
      </c>
      <c r="E23" s="25" t="s">
        <v>29</v>
      </c>
      <c r="F23" s="25" t="s">
        <v>12</v>
      </c>
      <c r="G23" s="25" t="s">
        <v>33</v>
      </c>
      <c r="H23" s="25" t="s">
        <v>43</v>
      </c>
      <c r="I23" s="344" t="s">
        <v>34</v>
      </c>
      <c r="J23" s="37"/>
      <c r="K23" s="25" t="s">
        <v>29</v>
      </c>
      <c r="L23" s="25" t="s">
        <v>12</v>
      </c>
      <c r="M23" s="25" t="s">
        <v>12</v>
      </c>
      <c r="N23" s="25" t="s">
        <v>35</v>
      </c>
      <c r="O23" s="25" t="s">
        <v>14</v>
      </c>
      <c r="P23" s="25" t="s">
        <v>32</v>
      </c>
      <c r="Q23" s="25" t="s">
        <v>72</v>
      </c>
      <c r="R23" s="344" t="s">
        <v>37</v>
      </c>
      <c r="S23" s="12"/>
      <c r="T23" s="25" t="s">
        <v>29</v>
      </c>
      <c r="U23" s="25" t="s">
        <v>12</v>
      </c>
      <c r="V23" s="25" t="s">
        <v>36</v>
      </c>
      <c r="W23" s="25" t="s">
        <v>14</v>
      </c>
      <c r="X23" s="25" t="s">
        <v>26</v>
      </c>
      <c r="Y23" s="25" t="s">
        <v>32</v>
      </c>
      <c r="Z23" s="25" t="s">
        <v>35</v>
      </c>
      <c r="AA23" s="25" t="s">
        <v>33</v>
      </c>
      <c r="AB23" s="12"/>
      <c r="AC23" s="25" t="s">
        <v>32</v>
      </c>
      <c r="AD23" s="25" t="s">
        <v>39</v>
      </c>
      <c r="AE23" s="25" t="s">
        <v>38</v>
      </c>
      <c r="AF23" s="25" t="s">
        <v>12</v>
      </c>
      <c r="AG23" s="25" t="s">
        <v>14</v>
      </c>
      <c r="AH23" s="25" t="s">
        <v>36</v>
      </c>
      <c r="AI23" s="25" t="s">
        <v>30</v>
      </c>
      <c r="AJ23" s="344" t="s">
        <v>41</v>
      </c>
      <c r="AK23" s="12"/>
      <c r="AL23" s="25" t="s">
        <v>31</v>
      </c>
      <c r="AM23" s="25" t="s">
        <v>33</v>
      </c>
      <c r="AN23" s="25" t="s">
        <v>14</v>
      </c>
      <c r="AO23" s="25" t="s">
        <v>72</v>
      </c>
      <c r="AP23" s="25" t="s">
        <v>32</v>
      </c>
      <c r="AQ23" s="25" t="s">
        <v>30</v>
      </c>
      <c r="AR23" s="25" t="s">
        <v>12</v>
      </c>
      <c r="AS23" s="344" t="s">
        <v>40</v>
      </c>
      <c r="AT23" s="345"/>
    </row>
    <row r="24" s="7" customFormat="1" ht="47.1" customHeight="1" spans="1:46">
      <c r="A24" s="343" t="s">
        <v>73</v>
      </c>
      <c r="B24" s="25" t="s">
        <v>32</v>
      </c>
      <c r="C24" s="25" t="s">
        <v>36</v>
      </c>
      <c r="D24" s="25" t="s">
        <v>14</v>
      </c>
      <c r="E24" s="25" t="s">
        <v>12</v>
      </c>
      <c r="F24" s="25" t="s">
        <v>29</v>
      </c>
      <c r="G24" s="25" t="s">
        <v>35</v>
      </c>
      <c r="H24" s="25" t="s">
        <v>33</v>
      </c>
      <c r="I24" s="344" t="s">
        <v>34</v>
      </c>
      <c r="J24" s="12"/>
      <c r="K24" s="25" t="s">
        <v>35</v>
      </c>
      <c r="L24" s="25" t="s">
        <v>72</v>
      </c>
      <c r="M24" s="25" t="s">
        <v>32</v>
      </c>
      <c r="N24" s="25" t="s">
        <v>14</v>
      </c>
      <c r="O24" s="25" t="s">
        <v>36</v>
      </c>
      <c r="P24" s="25" t="s">
        <v>12</v>
      </c>
      <c r="Q24" s="25" t="s">
        <v>12</v>
      </c>
      <c r="R24" s="344" t="s">
        <v>37</v>
      </c>
      <c r="S24" s="12"/>
      <c r="T24" s="25" t="s">
        <v>26</v>
      </c>
      <c r="U24" s="25" t="s">
        <v>14</v>
      </c>
      <c r="V24" s="25" t="s">
        <v>12</v>
      </c>
      <c r="W24" s="25" t="s">
        <v>38</v>
      </c>
      <c r="X24" s="25" t="s">
        <v>30</v>
      </c>
      <c r="Y24" s="12" t="s">
        <v>43</v>
      </c>
      <c r="Z24" s="25" t="s">
        <v>32</v>
      </c>
      <c r="AA24" s="25" t="s">
        <v>31</v>
      </c>
      <c r="AB24" s="12"/>
      <c r="AC24" s="25" t="s">
        <v>12</v>
      </c>
      <c r="AD24" s="25" t="s">
        <v>30</v>
      </c>
      <c r="AE24" s="25" t="s">
        <v>14</v>
      </c>
      <c r="AF24" s="25" t="s">
        <v>32</v>
      </c>
      <c r="AG24" s="25" t="s">
        <v>39</v>
      </c>
      <c r="AH24" s="25" t="s">
        <v>33</v>
      </c>
      <c r="AI24" s="25" t="s">
        <v>29</v>
      </c>
      <c r="AJ24" s="344" t="s">
        <v>41</v>
      </c>
      <c r="AK24" s="12"/>
      <c r="AL24" s="25" t="s">
        <v>32</v>
      </c>
      <c r="AM24" s="25" t="s">
        <v>72</v>
      </c>
      <c r="AN24" s="25" t="s">
        <v>29</v>
      </c>
      <c r="AO24" s="25" t="s">
        <v>33</v>
      </c>
      <c r="AP24" s="25" t="s">
        <v>14</v>
      </c>
      <c r="AQ24" s="25" t="s">
        <v>12</v>
      </c>
      <c r="AR24" s="25" t="s">
        <v>30</v>
      </c>
      <c r="AS24" s="344" t="s">
        <v>40</v>
      </c>
      <c r="AT24" s="345"/>
    </row>
    <row r="25" s="7" customFormat="1" ht="47.1" customHeight="1" spans="1:46">
      <c r="A25" s="343" t="s">
        <v>74</v>
      </c>
      <c r="B25" s="25" t="s">
        <v>33</v>
      </c>
      <c r="C25" s="25" t="s">
        <v>14</v>
      </c>
      <c r="D25" s="25" t="s">
        <v>43</v>
      </c>
      <c r="E25" s="25" t="s">
        <v>12</v>
      </c>
      <c r="F25" s="25" t="s">
        <v>32</v>
      </c>
      <c r="G25" s="25" t="s">
        <v>38</v>
      </c>
      <c r="H25" s="25" t="s">
        <v>30</v>
      </c>
      <c r="I25" s="344" t="s">
        <v>34</v>
      </c>
      <c r="J25" s="37"/>
      <c r="K25" s="25" t="s">
        <v>32</v>
      </c>
      <c r="L25" s="25" t="s">
        <v>75</v>
      </c>
      <c r="M25" s="25" t="s">
        <v>29</v>
      </c>
      <c r="N25" s="25" t="s">
        <v>33</v>
      </c>
      <c r="O25" s="25" t="s">
        <v>14</v>
      </c>
      <c r="P25" s="25" t="s">
        <v>12</v>
      </c>
      <c r="Q25" s="25" t="s">
        <v>12</v>
      </c>
      <c r="R25" s="344" t="s">
        <v>37</v>
      </c>
      <c r="S25" s="12"/>
      <c r="T25" s="12" t="s">
        <v>39</v>
      </c>
      <c r="U25" s="25" t="s">
        <v>29</v>
      </c>
      <c r="V25" s="25" t="s">
        <v>12</v>
      </c>
      <c r="W25" s="25" t="s">
        <v>14</v>
      </c>
      <c r="X25" s="25" t="s">
        <v>26</v>
      </c>
      <c r="Y25" s="25" t="s">
        <v>35</v>
      </c>
      <c r="Z25" s="25" t="s">
        <v>32</v>
      </c>
      <c r="AA25" s="25" t="s">
        <v>30</v>
      </c>
      <c r="AB25" s="37"/>
      <c r="AC25" s="25" t="s">
        <v>36</v>
      </c>
      <c r="AD25" s="25" t="s">
        <v>12</v>
      </c>
      <c r="AE25" s="25" t="s">
        <v>32</v>
      </c>
      <c r="AF25" s="25" t="s">
        <v>75</v>
      </c>
      <c r="AG25" s="344" t="s">
        <v>40</v>
      </c>
      <c r="AH25" s="25" t="s">
        <v>14</v>
      </c>
      <c r="AI25" s="25" t="s">
        <v>33</v>
      </c>
      <c r="AJ25" s="344" t="s">
        <v>41</v>
      </c>
      <c r="AK25" s="37"/>
      <c r="AL25" s="25" t="s">
        <v>32</v>
      </c>
      <c r="AM25" s="25" t="s">
        <v>14</v>
      </c>
      <c r="AN25" s="25" t="s">
        <v>30</v>
      </c>
      <c r="AO25" s="25" t="s">
        <v>29</v>
      </c>
      <c r="AP25" s="25" t="s">
        <v>35</v>
      </c>
      <c r="AQ25" s="25" t="s">
        <v>36</v>
      </c>
      <c r="AR25" s="25" t="s">
        <v>31</v>
      </c>
      <c r="AS25" s="25" t="s">
        <v>12</v>
      </c>
      <c r="AT25" s="345"/>
    </row>
    <row r="26" s="7" customFormat="1" ht="47.1" customHeight="1" spans="1:46">
      <c r="A26" s="343" t="s">
        <v>76</v>
      </c>
      <c r="B26" s="25" t="s">
        <v>14</v>
      </c>
      <c r="C26" s="25" t="s">
        <v>32</v>
      </c>
      <c r="D26" s="25" t="s">
        <v>29</v>
      </c>
      <c r="E26" s="25" t="s">
        <v>30</v>
      </c>
      <c r="F26" s="25" t="s">
        <v>31</v>
      </c>
      <c r="G26" s="25" t="s">
        <v>12</v>
      </c>
      <c r="H26" s="25" t="s">
        <v>39</v>
      </c>
      <c r="I26" s="344" t="s">
        <v>34</v>
      </c>
      <c r="J26" s="37"/>
      <c r="K26" s="25" t="s">
        <v>12</v>
      </c>
      <c r="L26" s="25" t="s">
        <v>12</v>
      </c>
      <c r="M26" s="25" t="s">
        <v>29</v>
      </c>
      <c r="N26" s="25" t="s">
        <v>14</v>
      </c>
      <c r="O26" s="25" t="s">
        <v>33</v>
      </c>
      <c r="P26" s="25" t="s">
        <v>32</v>
      </c>
      <c r="Q26" s="25" t="s">
        <v>75</v>
      </c>
      <c r="R26" s="344" t="s">
        <v>37</v>
      </c>
      <c r="S26" s="12"/>
      <c r="T26" s="25" t="s">
        <v>26</v>
      </c>
      <c r="U26" s="25" t="s">
        <v>14</v>
      </c>
      <c r="V26" s="25" t="s">
        <v>29</v>
      </c>
      <c r="W26" s="25" t="s">
        <v>12</v>
      </c>
      <c r="X26" s="12" t="s">
        <v>36</v>
      </c>
      <c r="Y26" s="25" t="s">
        <v>30</v>
      </c>
      <c r="Z26" s="25" t="s">
        <v>33</v>
      </c>
      <c r="AA26" s="25" t="s">
        <v>32</v>
      </c>
      <c r="AB26" s="12"/>
      <c r="AC26" s="25" t="s">
        <v>12</v>
      </c>
      <c r="AD26" s="25" t="s">
        <v>43</v>
      </c>
      <c r="AE26" s="25" t="s">
        <v>14</v>
      </c>
      <c r="AF26" s="25" t="s">
        <v>35</v>
      </c>
      <c r="AG26" s="344" t="s">
        <v>40</v>
      </c>
      <c r="AH26" s="25" t="s">
        <v>32</v>
      </c>
      <c r="AI26" s="25" t="s">
        <v>75</v>
      </c>
      <c r="AJ26" s="344" t="s">
        <v>41</v>
      </c>
      <c r="AK26" s="37"/>
      <c r="AL26" s="25" t="s">
        <v>33</v>
      </c>
      <c r="AM26" s="25" t="s">
        <v>38</v>
      </c>
      <c r="AN26" s="25" t="s">
        <v>32</v>
      </c>
      <c r="AO26" s="25" t="s">
        <v>35</v>
      </c>
      <c r="AP26" s="25" t="s">
        <v>14</v>
      </c>
      <c r="AQ26" s="25" t="s">
        <v>12</v>
      </c>
      <c r="AR26" s="25" t="s">
        <v>30</v>
      </c>
      <c r="AS26" s="25" t="s">
        <v>36</v>
      </c>
      <c r="AT26" s="345"/>
    </row>
    <row r="27" s="7" customFormat="1" ht="47.1" customHeight="1" spans="1:46">
      <c r="A27" s="343" t="s">
        <v>77</v>
      </c>
      <c r="B27" s="25" t="s">
        <v>14</v>
      </c>
      <c r="C27" s="25" t="s">
        <v>29</v>
      </c>
      <c r="D27" s="25" t="s">
        <v>32</v>
      </c>
      <c r="E27" s="25" t="s">
        <v>12</v>
      </c>
      <c r="F27" s="25" t="s">
        <v>30</v>
      </c>
      <c r="G27" s="25" t="s">
        <v>33</v>
      </c>
      <c r="H27" s="25" t="s">
        <v>35</v>
      </c>
      <c r="I27" s="344" t="s">
        <v>34</v>
      </c>
      <c r="J27" s="12"/>
      <c r="K27" s="25" t="s">
        <v>32</v>
      </c>
      <c r="L27" s="25" t="s">
        <v>78</v>
      </c>
      <c r="M27" s="25" t="s">
        <v>14</v>
      </c>
      <c r="N27" s="25" t="s">
        <v>33</v>
      </c>
      <c r="O27" s="25" t="s">
        <v>29</v>
      </c>
      <c r="P27" s="25" t="s">
        <v>12</v>
      </c>
      <c r="Q27" s="25" t="s">
        <v>12</v>
      </c>
      <c r="R27" s="344" t="s">
        <v>37</v>
      </c>
      <c r="S27" s="12"/>
      <c r="T27" s="25" t="s">
        <v>36</v>
      </c>
      <c r="U27" s="25" t="s">
        <v>38</v>
      </c>
      <c r="V27" s="25" t="s">
        <v>12</v>
      </c>
      <c r="W27" s="25" t="s">
        <v>14</v>
      </c>
      <c r="X27" s="25" t="s">
        <v>26</v>
      </c>
      <c r="Y27" s="25" t="s">
        <v>32</v>
      </c>
      <c r="Z27" s="25" t="s">
        <v>33</v>
      </c>
      <c r="AA27" s="25" t="s">
        <v>35</v>
      </c>
      <c r="AB27" s="12"/>
      <c r="AC27" s="25" t="s">
        <v>29</v>
      </c>
      <c r="AD27" s="25" t="s">
        <v>14</v>
      </c>
      <c r="AE27" s="25" t="s">
        <v>43</v>
      </c>
      <c r="AF27" s="25" t="s">
        <v>12</v>
      </c>
      <c r="AG27" s="344" t="s">
        <v>40</v>
      </c>
      <c r="AH27" s="25" t="s">
        <v>32</v>
      </c>
      <c r="AI27" s="12" t="s">
        <v>30</v>
      </c>
      <c r="AJ27" s="344" t="s">
        <v>41</v>
      </c>
      <c r="AK27" s="12"/>
      <c r="AL27" s="25" t="s">
        <v>39</v>
      </c>
      <c r="AM27" s="25" t="s">
        <v>14</v>
      </c>
      <c r="AN27" s="25" t="s">
        <v>30</v>
      </c>
      <c r="AO27" s="25" t="s">
        <v>32</v>
      </c>
      <c r="AP27" s="25" t="s">
        <v>78</v>
      </c>
      <c r="AQ27" s="25" t="s">
        <v>36</v>
      </c>
      <c r="AR27" s="25" t="s">
        <v>12</v>
      </c>
      <c r="AS27" s="25" t="s">
        <v>31</v>
      </c>
      <c r="AT27" s="345"/>
    </row>
    <row r="28" s="7" customFormat="1" ht="47.1" customHeight="1" spans="1:46">
      <c r="A28" s="343" t="s">
        <v>79</v>
      </c>
      <c r="B28" s="25" t="s">
        <v>35</v>
      </c>
      <c r="C28" s="25" t="s">
        <v>14</v>
      </c>
      <c r="D28" s="25" t="s">
        <v>33</v>
      </c>
      <c r="E28" s="25" t="s">
        <v>36</v>
      </c>
      <c r="F28" s="25" t="s">
        <v>12</v>
      </c>
      <c r="G28" s="25" t="s">
        <v>29</v>
      </c>
      <c r="H28" s="25" t="s">
        <v>32</v>
      </c>
      <c r="I28" s="344" t="s">
        <v>34</v>
      </c>
      <c r="J28" s="12"/>
      <c r="K28" s="25" t="s">
        <v>31</v>
      </c>
      <c r="L28" s="25" t="s">
        <v>12</v>
      </c>
      <c r="M28" s="25" t="s">
        <v>12</v>
      </c>
      <c r="N28" s="25" t="s">
        <v>32</v>
      </c>
      <c r="O28" s="25" t="s">
        <v>78</v>
      </c>
      <c r="P28" s="25" t="s">
        <v>30</v>
      </c>
      <c r="Q28" s="25" t="s">
        <v>14</v>
      </c>
      <c r="R28" s="344" t="s">
        <v>37</v>
      </c>
      <c r="S28" s="12"/>
      <c r="T28" s="25" t="s">
        <v>14</v>
      </c>
      <c r="U28" s="25" t="s">
        <v>26</v>
      </c>
      <c r="V28" s="25" t="s">
        <v>39</v>
      </c>
      <c r="W28" s="25" t="s">
        <v>29</v>
      </c>
      <c r="X28" s="25" t="s">
        <v>12</v>
      </c>
      <c r="Y28" s="12" t="s">
        <v>33</v>
      </c>
      <c r="Z28" s="25" t="s">
        <v>35</v>
      </c>
      <c r="AA28" s="25" t="s">
        <v>32</v>
      </c>
      <c r="AB28" s="12"/>
      <c r="AC28" s="25" t="s">
        <v>12</v>
      </c>
      <c r="AD28" s="25" t="s">
        <v>30</v>
      </c>
      <c r="AE28" s="25" t="s">
        <v>36</v>
      </c>
      <c r="AF28" s="25" t="s">
        <v>14</v>
      </c>
      <c r="AG28" s="344" t="s">
        <v>40</v>
      </c>
      <c r="AH28" s="25" t="s">
        <v>33</v>
      </c>
      <c r="AI28" s="25" t="s">
        <v>32</v>
      </c>
      <c r="AJ28" s="344" t="s">
        <v>41</v>
      </c>
      <c r="AK28" s="346"/>
      <c r="AL28" s="25" t="s">
        <v>32</v>
      </c>
      <c r="AM28" s="25" t="s">
        <v>78</v>
      </c>
      <c r="AN28" s="25" t="s">
        <v>14</v>
      </c>
      <c r="AO28" s="25" t="s">
        <v>30</v>
      </c>
      <c r="AP28" s="25" t="s">
        <v>38</v>
      </c>
      <c r="AQ28" s="38" t="s">
        <v>43</v>
      </c>
      <c r="AR28" s="25" t="s">
        <v>29</v>
      </c>
      <c r="AS28" s="25" t="s">
        <v>12</v>
      </c>
      <c r="AT28" s="345"/>
    </row>
    <row r="29" s="7" customFormat="1" ht="47.1" customHeight="1" spans="1:46">
      <c r="A29" s="343" t="s">
        <v>80</v>
      </c>
      <c r="B29" s="25" t="s">
        <v>33</v>
      </c>
      <c r="C29" s="25" t="s">
        <v>12</v>
      </c>
      <c r="D29" s="25" t="s">
        <v>38</v>
      </c>
      <c r="E29" s="25" t="s">
        <v>14</v>
      </c>
      <c r="F29" s="25" t="s">
        <v>36</v>
      </c>
      <c r="G29" s="25" t="s">
        <v>43</v>
      </c>
      <c r="H29" s="25" t="s">
        <v>32</v>
      </c>
      <c r="I29" s="344" t="s">
        <v>34</v>
      </c>
      <c r="J29" s="37"/>
      <c r="K29" s="25" t="s">
        <v>12</v>
      </c>
      <c r="L29" s="25" t="s">
        <v>12</v>
      </c>
      <c r="M29" s="25" t="s">
        <v>33</v>
      </c>
      <c r="N29" s="25" t="s">
        <v>32</v>
      </c>
      <c r="O29" s="25" t="s">
        <v>81</v>
      </c>
      <c r="P29" s="25" t="s">
        <v>14</v>
      </c>
      <c r="Q29" s="25" t="s">
        <v>35</v>
      </c>
      <c r="R29" s="344" t="s">
        <v>37</v>
      </c>
      <c r="S29" s="12"/>
      <c r="T29" s="25" t="s">
        <v>14</v>
      </c>
      <c r="U29" s="25" t="s">
        <v>26</v>
      </c>
      <c r="V29" s="25" t="s">
        <v>12</v>
      </c>
      <c r="W29" s="25" t="s">
        <v>30</v>
      </c>
      <c r="X29" s="25" t="s">
        <v>29</v>
      </c>
      <c r="Y29" s="25" t="s">
        <v>32</v>
      </c>
      <c r="Z29" s="25" t="s">
        <v>36</v>
      </c>
      <c r="AA29" s="25" t="s">
        <v>39</v>
      </c>
      <c r="AB29" s="37"/>
      <c r="AC29" s="25" t="s">
        <v>35</v>
      </c>
      <c r="AD29" s="25" t="s">
        <v>32</v>
      </c>
      <c r="AE29" s="25" t="s">
        <v>30</v>
      </c>
      <c r="AF29" s="25" t="s">
        <v>12</v>
      </c>
      <c r="AG29" s="344" t="s">
        <v>40</v>
      </c>
      <c r="AH29" s="25" t="s">
        <v>14</v>
      </c>
      <c r="AI29" s="12" t="s">
        <v>29</v>
      </c>
      <c r="AJ29" s="344" t="s">
        <v>41</v>
      </c>
      <c r="AK29" s="37"/>
      <c r="AL29" s="25" t="s">
        <v>33</v>
      </c>
      <c r="AM29" s="25" t="s">
        <v>31</v>
      </c>
      <c r="AN29" s="25" t="s">
        <v>14</v>
      </c>
      <c r="AO29" s="25" t="s">
        <v>32</v>
      </c>
      <c r="AP29" s="25" t="s">
        <v>81</v>
      </c>
      <c r="AQ29" s="25" t="s">
        <v>30</v>
      </c>
      <c r="AR29" s="25" t="s">
        <v>12</v>
      </c>
      <c r="AS29" s="25" t="s">
        <v>29</v>
      </c>
      <c r="AT29" s="345"/>
    </row>
    <row r="30" s="7" customFormat="1" ht="47.1" customHeight="1" spans="1:46">
      <c r="A30" s="347" t="s">
        <v>82</v>
      </c>
      <c r="B30" s="38" t="s">
        <v>32</v>
      </c>
      <c r="C30" s="38" t="s">
        <v>39</v>
      </c>
      <c r="D30" s="38" t="s">
        <v>35</v>
      </c>
      <c r="E30" s="38" t="s">
        <v>30</v>
      </c>
      <c r="F30" s="38" t="s">
        <v>14</v>
      </c>
      <c r="G30" s="38" t="s">
        <v>12</v>
      </c>
      <c r="H30" s="38" t="s">
        <v>31</v>
      </c>
      <c r="I30" s="58" t="s">
        <v>34</v>
      </c>
      <c r="J30" s="42"/>
      <c r="K30" s="38" t="s">
        <v>32</v>
      </c>
      <c r="L30" s="38" t="s">
        <v>81</v>
      </c>
      <c r="M30" s="42" t="s">
        <v>14</v>
      </c>
      <c r="N30" s="38" t="s">
        <v>12</v>
      </c>
      <c r="O30" s="38" t="s">
        <v>12</v>
      </c>
      <c r="P30" s="38" t="s">
        <v>33</v>
      </c>
      <c r="Q30" s="38" t="s">
        <v>29</v>
      </c>
      <c r="R30" s="58" t="s">
        <v>37</v>
      </c>
      <c r="S30" s="42"/>
      <c r="T30" s="38" t="s">
        <v>29</v>
      </c>
      <c r="U30" s="38" t="s">
        <v>12</v>
      </c>
      <c r="V30" s="38" t="s">
        <v>36</v>
      </c>
      <c r="W30" s="38" t="s">
        <v>14</v>
      </c>
      <c r="X30" s="38" t="s">
        <v>26</v>
      </c>
      <c r="Y30" s="38" t="s">
        <v>38</v>
      </c>
      <c r="Z30" s="38" t="s">
        <v>30</v>
      </c>
      <c r="AA30" s="38" t="s">
        <v>32</v>
      </c>
      <c r="AB30" s="37"/>
      <c r="AC30" s="38" t="s">
        <v>12</v>
      </c>
      <c r="AD30" s="38" t="s">
        <v>33</v>
      </c>
      <c r="AE30" s="38" t="s">
        <v>32</v>
      </c>
      <c r="AF30" s="38" t="s">
        <v>14</v>
      </c>
      <c r="AG30" s="58" t="s">
        <v>40</v>
      </c>
      <c r="AH30" s="38" t="s">
        <v>30</v>
      </c>
      <c r="AI30" s="38" t="s">
        <v>43</v>
      </c>
      <c r="AJ30" s="58" t="s">
        <v>41</v>
      </c>
      <c r="AK30" s="42"/>
      <c r="AL30" s="38" t="s">
        <v>32</v>
      </c>
      <c r="AM30" s="38" t="s">
        <v>81</v>
      </c>
      <c r="AN30" s="38" t="s">
        <v>33</v>
      </c>
      <c r="AO30" s="38" t="s">
        <v>29</v>
      </c>
      <c r="AP30" s="38" t="s">
        <v>14</v>
      </c>
      <c r="AQ30" s="38" t="s">
        <v>12</v>
      </c>
      <c r="AR30" s="38" t="s">
        <v>36</v>
      </c>
      <c r="AS30" s="38" t="s">
        <v>35</v>
      </c>
      <c r="AT30" s="348"/>
    </row>
    <row r="31" s="8" customFormat="1" ht="98.1" customHeight="1" spans="1:46">
      <c r="A31" s="349"/>
      <c r="B31" s="350"/>
      <c r="C31" s="350"/>
      <c r="D31" s="350"/>
      <c r="E31" s="351" t="s">
        <v>83</v>
      </c>
      <c r="F31" s="351"/>
      <c r="G31" s="352"/>
      <c r="H31" s="352"/>
      <c r="I31" s="352"/>
      <c r="J31" s="352"/>
      <c r="K31" s="351" t="s">
        <v>84</v>
      </c>
      <c r="L31" s="351"/>
      <c r="M31" s="351"/>
      <c r="N31" s="351"/>
      <c r="O31" s="351"/>
      <c r="P31" s="352"/>
      <c r="Q31" s="352"/>
      <c r="R31" s="352"/>
      <c r="S31" s="352"/>
      <c r="T31" s="351" t="s">
        <v>85</v>
      </c>
      <c r="U31" s="351"/>
      <c r="V31" s="351"/>
      <c r="W31" s="351"/>
      <c r="X31" s="351"/>
      <c r="Y31" s="351" t="s">
        <v>86</v>
      </c>
      <c r="Z31" s="351"/>
      <c r="AA31" s="351"/>
      <c r="AB31" s="351"/>
      <c r="AC31" s="351" t="s">
        <v>87</v>
      </c>
      <c r="AD31" s="351"/>
      <c r="AE31" s="351"/>
      <c r="AF31" s="351"/>
      <c r="AG31" s="351"/>
      <c r="AH31" s="351"/>
      <c r="AI31" s="351"/>
      <c r="AJ31" s="351"/>
      <c r="AK31" s="351"/>
      <c r="AL31" s="351" t="s">
        <v>88</v>
      </c>
      <c r="AM31" s="351"/>
      <c r="AN31" s="351"/>
      <c r="AO31" s="351" t="s">
        <v>89</v>
      </c>
      <c r="AP31" s="351"/>
      <c r="AQ31" s="353"/>
      <c r="AR31" s="353"/>
      <c r="AS31" s="354"/>
    </row>
  </sheetData>
  <mergeCells count="23">
    <mergeCell ref="A1:AS1"/>
    <mergeCell ref="B2:J2"/>
    <mergeCell ref="K2:S2"/>
    <mergeCell ref="T2:AB2"/>
    <mergeCell ref="AC2:AK2"/>
    <mergeCell ref="AL2:AS2"/>
    <mergeCell ref="B3:F3"/>
    <mergeCell ref="G3:J3"/>
    <mergeCell ref="K3:O3"/>
    <mergeCell ref="P3:S3"/>
    <mergeCell ref="T3:X3"/>
    <mergeCell ref="Y3:AB3"/>
    <mergeCell ref="AC3:AG3"/>
    <mergeCell ref="AH3:AK3"/>
    <mergeCell ref="AL3:AP3"/>
    <mergeCell ref="AQ3:AS3"/>
    <mergeCell ref="E31:F31"/>
    <mergeCell ref="K31:O31"/>
    <mergeCell ref="T31:X31"/>
    <mergeCell ref="Y31:AA31"/>
    <mergeCell ref="AC31:AG31"/>
    <mergeCell ref="AL31:AN31"/>
    <mergeCell ref="AO31:AP31"/>
  </mergeCells>
  <pageMargins left="0.75" right="0.75" top="1" bottom="1" header="0.5" footer="0.5"/>
  <pageSetup paperSize="9" scale="4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63"/>
  <sheetViews>
    <sheetView zoomScale="40" zoomScaleNormal="40" workbookViewId="0">
      <selection activeCell="BK19" sqref="BK19"/>
    </sheetView>
  </sheetViews>
  <sheetFormatPr defaultColWidth="9" defaultRowHeight="13.5"/>
  <cols>
    <col min="1" max="1" width="12.125" customWidth="1"/>
    <col min="2" max="46" width="8" customWidth="1"/>
  </cols>
  <sheetData>
    <row r="1" s="154" customFormat="1" ht="38.1" customHeight="1" spans="1:46">
      <c r="A1" s="158" t="s">
        <v>94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</row>
    <row r="2" s="155" customFormat="1" ht="21.95" customHeight="1" spans="1:46">
      <c r="A2" s="159" t="s">
        <v>1</v>
      </c>
      <c r="B2" s="160" t="s">
        <v>2</v>
      </c>
      <c r="C2" s="161"/>
      <c r="D2" s="161"/>
      <c r="E2" s="161"/>
      <c r="F2" s="161"/>
      <c r="G2" s="161"/>
      <c r="H2" s="161"/>
      <c r="I2" s="162"/>
      <c r="J2" s="163"/>
      <c r="K2" s="160" t="s">
        <v>3</v>
      </c>
      <c r="L2" s="161"/>
      <c r="M2" s="161"/>
      <c r="N2" s="161"/>
      <c r="O2" s="161"/>
      <c r="P2" s="161"/>
      <c r="Q2" s="161"/>
      <c r="R2" s="161"/>
      <c r="S2" s="163"/>
      <c r="T2" s="160" t="s">
        <v>4</v>
      </c>
      <c r="U2" s="161"/>
      <c r="V2" s="161"/>
      <c r="W2" s="161"/>
      <c r="X2" s="161"/>
      <c r="Y2" s="161"/>
      <c r="Z2" s="161"/>
      <c r="AA2" s="161"/>
      <c r="AB2" s="163"/>
      <c r="AC2" s="164" t="s">
        <v>5</v>
      </c>
      <c r="AD2" s="165"/>
      <c r="AE2" s="165"/>
      <c r="AF2" s="165"/>
      <c r="AG2" s="165"/>
      <c r="AH2" s="165"/>
      <c r="AI2" s="165"/>
      <c r="AJ2" s="165"/>
      <c r="AK2" s="166"/>
      <c r="AL2" s="164" t="s">
        <v>6</v>
      </c>
      <c r="AM2" s="165"/>
      <c r="AN2" s="165"/>
      <c r="AO2" s="165"/>
      <c r="AP2" s="165"/>
      <c r="AQ2" s="165"/>
      <c r="AR2" s="165"/>
      <c r="AS2" s="167"/>
      <c r="AT2" s="166"/>
    </row>
    <row r="3" s="155" customFormat="1" ht="21.95" customHeight="1" spans="1:46">
      <c r="A3" s="168" t="s">
        <v>7</v>
      </c>
      <c r="B3" s="169" t="s">
        <v>8</v>
      </c>
      <c r="C3" s="13"/>
      <c r="D3" s="13"/>
      <c r="E3" s="13"/>
      <c r="F3" s="13"/>
      <c r="G3" s="13" t="s">
        <v>9</v>
      </c>
      <c r="H3" s="13"/>
      <c r="I3" s="15"/>
      <c r="J3" s="170"/>
      <c r="K3" s="169" t="s">
        <v>8</v>
      </c>
      <c r="L3" s="13"/>
      <c r="M3" s="13"/>
      <c r="N3" s="13"/>
      <c r="O3" s="13"/>
      <c r="P3" s="13" t="s">
        <v>9</v>
      </c>
      <c r="Q3" s="13"/>
      <c r="R3" s="13"/>
      <c r="S3" s="170"/>
      <c r="T3" s="169" t="s">
        <v>8</v>
      </c>
      <c r="U3" s="13"/>
      <c r="V3" s="13"/>
      <c r="W3" s="13"/>
      <c r="X3" s="13"/>
      <c r="Y3" s="13" t="s">
        <v>9</v>
      </c>
      <c r="Z3" s="13"/>
      <c r="AA3" s="13"/>
      <c r="AB3" s="170"/>
      <c r="AC3" s="169" t="s">
        <v>8</v>
      </c>
      <c r="AD3" s="13"/>
      <c r="AE3" s="13"/>
      <c r="AF3" s="13"/>
      <c r="AG3" s="13"/>
      <c r="AH3" s="13" t="s">
        <v>9</v>
      </c>
      <c r="AI3" s="13"/>
      <c r="AJ3" s="13"/>
      <c r="AK3" s="170"/>
      <c r="AL3" s="169" t="s">
        <v>8</v>
      </c>
      <c r="AM3" s="13"/>
      <c r="AN3" s="13"/>
      <c r="AO3" s="13"/>
      <c r="AP3" s="13"/>
      <c r="AQ3" s="13" t="s">
        <v>9</v>
      </c>
      <c r="AR3" s="13"/>
      <c r="AS3" s="15"/>
      <c r="AT3" s="170"/>
    </row>
    <row r="4" s="155" customFormat="1" ht="21.95" customHeight="1" spans="1:46">
      <c r="A4" s="171" t="s">
        <v>30</v>
      </c>
      <c r="B4" s="172"/>
      <c r="C4" s="173"/>
      <c r="D4" s="173"/>
      <c r="E4" s="173"/>
      <c r="F4" s="173"/>
      <c r="G4" s="173"/>
      <c r="H4" s="173"/>
      <c r="I4" s="174"/>
      <c r="J4" s="175"/>
      <c r="K4" s="172"/>
      <c r="L4" s="173"/>
      <c r="M4" s="173"/>
      <c r="N4" s="173"/>
      <c r="O4" s="173"/>
      <c r="P4" s="173"/>
      <c r="Q4" s="173"/>
      <c r="R4" s="173"/>
      <c r="S4" s="175"/>
      <c r="T4" s="172"/>
      <c r="U4" s="173"/>
      <c r="V4" s="173"/>
      <c r="W4" s="173"/>
      <c r="X4" s="173"/>
      <c r="Y4" s="173"/>
      <c r="Z4" s="173"/>
      <c r="AA4" s="173"/>
      <c r="AB4" s="175"/>
      <c r="AC4" s="172"/>
      <c r="AD4" s="173"/>
      <c r="AE4" s="173"/>
      <c r="AF4" s="173"/>
      <c r="AG4" s="173"/>
      <c r="AH4" s="173"/>
      <c r="AI4" s="173"/>
      <c r="AJ4" s="173"/>
      <c r="AK4" s="175"/>
      <c r="AL4" s="172"/>
      <c r="AM4" s="173"/>
      <c r="AN4" s="173"/>
      <c r="AO4" s="173"/>
      <c r="AP4" s="173"/>
      <c r="AQ4" s="173"/>
      <c r="AR4" s="173"/>
      <c r="AS4" s="174"/>
      <c r="AT4" s="175"/>
    </row>
    <row r="5" s="156" customFormat="1" ht="47.1" customHeight="1" spans="1:46">
      <c r="A5" s="171" t="s">
        <v>39</v>
      </c>
      <c r="B5" s="176">
        <v>1</v>
      </c>
      <c r="C5" s="177">
        <v>2</v>
      </c>
      <c r="D5" s="177">
        <v>3</v>
      </c>
      <c r="E5" s="177">
        <v>4</v>
      </c>
      <c r="F5" s="177">
        <v>5</v>
      </c>
      <c r="G5" s="177">
        <v>6</v>
      </c>
      <c r="H5" s="178">
        <v>7</v>
      </c>
      <c r="I5" s="179">
        <v>8</v>
      </c>
      <c r="J5" s="180" t="s">
        <v>95</v>
      </c>
      <c r="K5" s="181">
        <v>1</v>
      </c>
      <c r="L5" s="177">
        <v>2</v>
      </c>
      <c r="M5" s="177">
        <v>3</v>
      </c>
      <c r="N5" s="177">
        <v>4</v>
      </c>
      <c r="O5" s="177">
        <v>5</v>
      </c>
      <c r="P5" s="182">
        <v>6</v>
      </c>
      <c r="Q5" s="177">
        <v>7</v>
      </c>
      <c r="R5" s="182">
        <v>8</v>
      </c>
      <c r="S5" s="180" t="s">
        <v>95</v>
      </c>
      <c r="T5" s="176">
        <v>1</v>
      </c>
      <c r="U5" s="182">
        <v>2</v>
      </c>
      <c r="V5" s="178">
        <v>3</v>
      </c>
      <c r="W5" s="178">
        <v>4</v>
      </c>
      <c r="X5" s="178">
        <v>5</v>
      </c>
      <c r="Y5" s="177">
        <v>6</v>
      </c>
      <c r="Z5" s="177">
        <v>7</v>
      </c>
      <c r="AA5" s="178">
        <v>8</v>
      </c>
      <c r="AB5" s="180" t="s">
        <v>95</v>
      </c>
      <c r="AC5" s="181">
        <v>1</v>
      </c>
      <c r="AD5" s="177">
        <v>2</v>
      </c>
      <c r="AE5" s="182">
        <v>3</v>
      </c>
      <c r="AF5" s="182">
        <v>4</v>
      </c>
      <c r="AG5" s="177">
        <v>5</v>
      </c>
      <c r="AH5" s="177">
        <v>6</v>
      </c>
      <c r="AI5" s="182">
        <v>7</v>
      </c>
      <c r="AJ5" s="182">
        <v>8</v>
      </c>
      <c r="AK5" s="180" t="s">
        <v>95</v>
      </c>
      <c r="AL5" s="181">
        <v>1</v>
      </c>
      <c r="AM5" s="177">
        <v>2</v>
      </c>
      <c r="AN5" s="177">
        <v>3</v>
      </c>
      <c r="AO5" s="177">
        <v>4</v>
      </c>
      <c r="AP5" s="178">
        <v>5</v>
      </c>
      <c r="AQ5" s="182">
        <v>6</v>
      </c>
      <c r="AR5" s="177">
        <v>7</v>
      </c>
      <c r="AS5" s="182">
        <v>8</v>
      </c>
      <c r="AT5" s="180" t="s">
        <v>95</v>
      </c>
    </row>
    <row r="6" s="156" customFormat="1" ht="77.1" customHeight="1" spans="1:46">
      <c r="A6" s="23" t="s">
        <v>96</v>
      </c>
      <c r="B6" s="183" t="s">
        <v>35</v>
      </c>
      <c r="C6" s="184" t="s">
        <v>14</v>
      </c>
      <c r="D6" s="183" t="s">
        <v>97</v>
      </c>
      <c r="E6" s="185" t="s">
        <v>43</v>
      </c>
      <c r="F6" s="183" t="s">
        <v>12</v>
      </c>
      <c r="G6" s="183" t="s">
        <v>32</v>
      </c>
      <c r="H6" s="186" t="s">
        <v>39</v>
      </c>
      <c r="I6" s="187" t="s">
        <v>98</v>
      </c>
      <c r="J6" s="183" t="s">
        <v>99</v>
      </c>
      <c r="K6" s="183" t="s">
        <v>36</v>
      </c>
      <c r="L6" s="183" t="s">
        <v>12</v>
      </c>
      <c r="M6" s="183" t="s">
        <v>12</v>
      </c>
      <c r="N6" s="183" t="s">
        <v>32</v>
      </c>
      <c r="O6" s="183" t="s">
        <v>100</v>
      </c>
      <c r="P6" s="183" t="s">
        <v>14</v>
      </c>
      <c r="Q6" s="188" t="s">
        <v>30</v>
      </c>
      <c r="R6" s="184" t="s">
        <v>101</v>
      </c>
      <c r="S6" s="183" t="s">
        <v>102</v>
      </c>
      <c r="T6" s="184" t="s">
        <v>101</v>
      </c>
      <c r="U6" s="183" t="s">
        <v>12</v>
      </c>
      <c r="V6" s="183" t="s">
        <v>14</v>
      </c>
      <c r="W6" s="184" t="s">
        <v>36</v>
      </c>
      <c r="X6" s="183" t="s">
        <v>97</v>
      </c>
      <c r="Y6" s="183" t="s">
        <v>32</v>
      </c>
      <c r="Z6" s="184" t="s">
        <v>35</v>
      </c>
      <c r="AA6" s="188" t="s">
        <v>30</v>
      </c>
      <c r="AB6" s="183" t="s">
        <v>103</v>
      </c>
      <c r="AC6" s="183" t="s">
        <v>32</v>
      </c>
      <c r="AD6" s="184" t="s">
        <v>38</v>
      </c>
      <c r="AE6" s="183" t="s">
        <v>104</v>
      </c>
      <c r="AF6" s="183" t="s">
        <v>14</v>
      </c>
      <c r="AG6" s="184" t="s">
        <v>35</v>
      </c>
      <c r="AH6" s="183" t="s">
        <v>97</v>
      </c>
      <c r="AI6" s="183" t="s">
        <v>12</v>
      </c>
      <c r="AJ6" s="184" t="s">
        <v>101</v>
      </c>
      <c r="AK6" s="183" t="s">
        <v>26</v>
      </c>
      <c r="AL6" s="184" t="s">
        <v>97</v>
      </c>
      <c r="AM6" s="184" t="s">
        <v>14</v>
      </c>
      <c r="AN6" s="189" t="s">
        <v>30</v>
      </c>
      <c r="AO6" s="183" t="s">
        <v>100</v>
      </c>
      <c r="AP6" s="183" t="s">
        <v>32</v>
      </c>
      <c r="AQ6" s="183" t="s">
        <v>105</v>
      </c>
      <c r="AR6" s="183" t="s">
        <v>12</v>
      </c>
      <c r="AS6" s="184" t="s">
        <v>101</v>
      </c>
      <c r="AT6" s="190"/>
    </row>
    <row r="7" s="156" customFormat="1" ht="77.1" customHeight="1" spans="1:46">
      <c r="A7" s="29" t="s">
        <v>106</v>
      </c>
      <c r="B7" s="191" t="s">
        <v>14</v>
      </c>
      <c r="C7" s="191" t="s">
        <v>101</v>
      </c>
      <c r="D7" s="191" t="s">
        <v>32</v>
      </c>
      <c r="E7" s="191" t="s">
        <v>12</v>
      </c>
      <c r="F7" s="192" t="s">
        <v>97</v>
      </c>
      <c r="G7" s="191" t="s">
        <v>36</v>
      </c>
      <c r="H7" s="193" t="s">
        <v>30</v>
      </c>
      <c r="I7" s="194" t="s">
        <v>98</v>
      </c>
      <c r="J7" s="191" t="s">
        <v>103</v>
      </c>
      <c r="K7" s="191" t="s">
        <v>32</v>
      </c>
      <c r="L7" s="191" t="s">
        <v>100</v>
      </c>
      <c r="M7" s="191" t="s">
        <v>14</v>
      </c>
      <c r="N7" s="192" t="s">
        <v>35</v>
      </c>
      <c r="O7" s="192" t="s">
        <v>97</v>
      </c>
      <c r="P7" s="192" t="s">
        <v>101</v>
      </c>
      <c r="Q7" s="191" t="s">
        <v>12</v>
      </c>
      <c r="R7" s="191" t="s">
        <v>12</v>
      </c>
      <c r="S7" s="191" t="s">
        <v>26</v>
      </c>
      <c r="T7" s="192" t="s">
        <v>14</v>
      </c>
      <c r="U7" s="195" t="s">
        <v>43</v>
      </c>
      <c r="V7" s="191" t="s">
        <v>97</v>
      </c>
      <c r="W7" s="196" t="s">
        <v>30</v>
      </c>
      <c r="X7" s="191" t="s">
        <v>12</v>
      </c>
      <c r="Y7" s="192" t="s">
        <v>35</v>
      </c>
      <c r="Z7" s="192" t="s">
        <v>38</v>
      </c>
      <c r="AA7" s="191" t="s">
        <v>32</v>
      </c>
      <c r="AB7" s="191" t="s">
        <v>99</v>
      </c>
      <c r="AC7" s="192" t="s">
        <v>35</v>
      </c>
      <c r="AD7" s="191" t="s">
        <v>36</v>
      </c>
      <c r="AE7" s="191" t="s">
        <v>32</v>
      </c>
      <c r="AF7" s="196" t="s">
        <v>30</v>
      </c>
      <c r="AG7" s="192" t="s">
        <v>101</v>
      </c>
      <c r="AH7" s="191" t="s">
        <v>14</v>
      </c>
      <c r="AI7" s="191" t="s">
        <v>104</v>
      </c>
      <c r="AJ7" s="191" t="s">
        <v>12</v>
      </c>
      <c r="AK7" s="191" t="s">
        <v>102</v>
      </c>
      <c r="AL7" s="191" t="s">
        <v>100</v>
      </c>
      <c r="AM7" s="191" t="s">
        <v>32</v>
      </c>
      <c r="AN7" s="191" t="s">
        <v>14</v>
      </c>
      <c r="AO7" s="192" t="s">
        <v>101</v>
      </c>
      <c r="AP7" s="197" t="s">
        <v>39</v>
      </c>
      <c r="AQ7" s="191" t="s">
        <v>12</v>
      </c>
      <c r="AR7" s="191" t="s">
        <v>105</v>
      </c>
      <c r="AS7" s="192" t="s">
        <v>97</v>
      </c>
      <c r="AT7" s="198"/>
    </row>
    <row r="8" s="156" customFormat="1" ht="77.1" customHeight="1" spans="1:46">
      <c r="A8" s="29" t="s">
        <v>107</v>
      </c>
      <c r="B8" s="197" t="s">
        <v>39</v>
      </c>
      <c r="C8" s="192" t="s">
        <v>14</v>
      </c>
      <c r="D8" s="193" t="s">
        <v>30</v>
      </c>
      <c r="E8" s="191" t="s">
        <v>101</v>
      </c>
      <c r="F8" s="191" t="s">
        <v>12</v>
      </c>
      <c r="G8" s="191" t="s">
        <v>97</v>
      </c>
      <c r="H8" s="191" t="s">
        <v>32</v>
      </c>
      <c r="I8" s="194" t="s">
        <v>98</v>
      </c>
      <c r="J8" s="191" t="s">
        <v>26</v>
      </c>
      <c r="K8" s="191" t="s">
        <v>108</v>
      </c>
      <c r="L8" s="191" t="s">
        <v>32</v>
      </c>
      <c r="M8" s="191" t="s">
        <v>35</v>
      </c>
      <c r="N8" s="191" t="s">
        <v>12</v>
      </c>
      <c r="O8" s="191" t="s">
        <v>12</v>
      </c>
      <c r="P8" s="191" t="s">
        <v>14</v>
      </c>
      <c r="Q8" s="192" t="s">
        <v>101</v>
      </c>
      <c r="R8" s="191" t="s">
        <v>105</v>
      </c>
      <c r="S8" s="191" t="s">
        <v>102</v>
      </c>
      <c r="T8" s="191" t="s">
        <v>14</v>
      </c>
      <c r="U8" s="191" t="s">
        <v>109</v>
      </c>
      <c r="V8" s="191" t="s">
        <v>36</v>
      </c>
      <c r="W8" s="192" t="s">
        <v>101</v>
      </c>
      <c r="X8" s="192" t="s">
        <v>97</v>
      </c>
      <c r="Y8" s="191" t="s">
        <v>12</v>
      </c>
      <c r="Z8" s="191" t="s">
        <v>32</v>
      </c>
      <c r="AA8" s="192" t="s">
        <v>35</v>
      </c>
      <c r="AB8" s="191" t="s">
        <v>103</v>
      </c>
      <c r="AC8" s="191" t="s">
        <v>12</v>
      </c>
      <c r="AD8" s="191" t="s">
        <v>97</v>
      </c>
      <c r="AE8" s="196" t="s">
        <v>30</v>
      </c>
      <c r="AF8" s="192" t="s">
        <v>35</v>
      </c>
      <c r="AG8" s="191" t="s">
        <v>14</v>
      </c>
      <c r="AH8" s="191" t="s">
        <v>36</v>
      </c>
      <c r="AI8" s="191" t="s">
        <v>108</v>
      </c>
      <c r="AJ8" s="191" t="s">
        <v>32</v>
      </c>
      <c r="AK8" s="191" t="s">
        <v>99</v>
      </c>
      <c r="AL8" s="191" t="s">
        <v>101</v>
      </c>
      <c r="AM8" s="192" t="s">
        <v>97</v>
      </c>
      <c r="AN8" s="191" t="s">
        <v>32</v>
      </c>
      <c r="AO8" s="191" t="s">
        <v>14</v>
      </c>
      <c r="AP8" s="199" t="s">
        <v>43</v>
      </c>
      <c r="AQ8" s="191" t="s">
        <v>12</v>
      </c>
      <c r="AR8" s="193" t="s">
        <v>30</v>
      </c>
      <c r="AS8" s="192" t="s">
        <v>38</v>
      </c>
      <c r="AT8" s="200"/>
    </row>
    <row r="9" s="156" customFormat="1" ht="77.1" customHeight="1" spans="1:46">
      <c r="A9" s="29" t="s">
        <v>110</v>
      </c>
      <c r="B9" s="192" t="s">
        <v>97</v>
      </c>
      <c r="C9" s="191" t="s">
        <v>12</v>
      </c>
      <c r="D9" s="201" t="s">
        <v>30</v>
      </c>
      <c r="E9" s="191" t="s">
        <v>14</v>
      </c>
      <c r="F9" s="192" t="s">
        <v>35</v>
      </c>
      <c r="G9" s="192" t="s">
        <v>32</v>
      </c>
      <c r="H9" s="191" t="s">
        <v>101</v>
      </c>
      <c r="I9" s="194" t="s">
        <v>98</v>
      </c>
      <c r="J9" s="191" t="s">
        <v>103</v>
      </c>
      <c r="K9" s="192" t="s">
        <v>35</v>
      </c>
      <c r="L9" s="191" t="s">
        <v>14</v>
      </c>
      <c r="M9" s="191" t="s">
        <v>105</v>
      </c>
      <c r="N9" s="191" t="s">
        <v>108</v>
      </c>
      <c r="O9" s="191" t="s">
        <v>32</v>
      </c>
      <c r="P9" s="191" t="s">
        <v>101</v>
      </c>
      <c r="Q9" s="191" t="s">
        <v>12</v>
      </c>
      <c r="R9" s="191" t="s">
        <v>12</v>
      </c>
      <c r="S9" s="191" t="s">
        <v>102</v>
      </c>
      <c r="T9" s="191" t="s">
        <v>36</v>
      </c>
      <c r="U9" s="191" t="s">
        <v>97</v>
      </c>
      <c r="V9" s="202" t="s">
        <v>39</v>
      </c>
      <c r="W9" s="191" t="s">
        <v>109</v>
      </c>
      <c r="X9" s="191" t="s">
        <v>14</v>
      </c>
      <c r="Y9" s="191" t="s">
        <v>32</v>
      </c>
      <c r="Z9" s="191" t="s">
        <v>12</v>
      </c>
      <c r="AA9" s="192" t="s">
        <v>35</v>
      </c>
      <c r="AB9" s="191" t="s">
        <v>99</v>
      </c>
      <c r="AC9" s="191" t="s">
        <v>101</v>
      </c>
      <c r="AD9" s="192" t="s">
        <v>97</v>
      </c>
      <c r="AE9" s="191" t="s">
        <v>32</v>
      </c>
      <c r="AF9" s="191" t="s">
        <v>108</v>
      </c>
      <c r="AG9" s="191" t="s">
        <v>12</v>
      </c>
      <c r="AH9" s="191" t="s">
        <v>14</v>
      </c>
      <c r="AI9" s="191" t="s">
        <v>36</v>
      </c>
      <c r="AJ9" s="203" t="s">
        <v>30</v>
      </c>
      <c r="AK9" s="191" t="s">
        <v>26</v>
      </c>
      <c r="AL9" s="191" t="s">
        <v>14</v>
      </c>
      <c r="AM9" s="191" t="s">
        <v>32</v>
      </c>
      <c r="AN9" s="199" t="s">
        <v>43</v>
      </c>
      <c r="AO9" s="203" t="s">
        <v>30</v>
      </c>
      <c r="AP9" s="192" t="s">
        <v>97</v>
      </c>
      <c r="AQ9" s="191" t="s">
        <v>38</v>
      </c>
      <c r="AR9" s="192" t="s">
        <v>101</v>
      </c>
      <c r="AS9" s="191" t="s">
        <v>12</v>
      </c>
      <c r="AT9" s="200"/>
    </row>
    <row r="10" s="156" customFormat="1" ht="77.1" customHeight="1" spans="1:46">
      <c r="A10" s="29" t="s">
        <v>111</v>
      </c>
      <c r="B10" s="191" t="s">
        <v>14</v>
      </c>
      <c r="C10" s="192" t="s">
        <v>12</v>
      </c>
      <c r="D10" s="191" t="s">
        <v>101</v>
      </c>
      <c r="E10" s="203" t="s">
        <v>30</v>
      </c>
      <c r="F10" s="192" t="s">
        <v>32</v>
      </c>
      <c r="G10" s="191" t="s">
        <v>39</v>
      </c>
      <c r="H10" s="192" t="s">
        <v>35</v>
      </c>
      <c r="I10" s="194" t="s">
        <v>98</v>
      </c>
      <c r="J10" s="191" t="s">
        <v>102</v>
      </c>
      <c r="K10" s="192" t="s">
        <v>12</v>
      </c>
      <c r="L10" s="191" t="s">
        <v>14</v>
      </c>
      <c r="M10" s="192" t="s">
        <v>36</v>
      </c>
      <c r="N10" s="191" t="s">
        <v>97</v>
      </c>
      <c r="O10" s="192" t="s">
        <v>35</v>
      </c>
      <c r="P10" s="191" t="s">
        <v>112</v>
      </c>
      <c r="Q10" s="192" t="s">
        <v>32</v>
      </c>
      <c r="R10" s="199" t="s">
        <v>43</v>
      </c>
      <c r="S10" s="191" t="s">
        <v>99</v>
      </c>
      <c r="T10" s="191" t="s">
        <v>113</v>
      </c>
      <c r="U10" s="191" t="s">
        <v>14</v>
      </c>
      <c r="V10" s="192" t="s">
        <v>12</v>
      </c>
      <c r="W10" s="191" t="s">
        <v>97</v>
      </c>
      <c r="X10" s="192" t="s">
        <v>38</v>
      </c>
      <c r="Y10" s="192" t="s">
        <v>32</v>
      </c>
      <c r="Z10" s="203" t="s">
        <v>30</v>
      </c>
      <c r="AA10" s="191" t="s">
        <v>101</v>
      </c>
      <c r="AB10" s="191" t="s">
        <v>103</v>
      </c>
      <c r="AC10" s="192" t="s">
        <v>12</v>
      </c>
      <c r="AD10" s="192" t="s">
        <v>12</v>
      </c>
      <c r="AE10" s="191" t="s">
        <v>101</v>
      </c>
      <c r="AF10" s="192" t="s">
        <v>32</v>
      </c>
      <c r="AG10" s="192" t="s">
        <v>35</v>
      </c>
      <c r="AH10" s="191" t="s">
        <v>114</v>
      </c>
      <c r="AI10" s="191" t="s">
        <v>14</v>
      </c>
      <c r="AJ10" s="192" t="s">
        <v>97</v>
      </c>
      <c r="AK10" s="191" t="s">
        <v>26</v>
      </c>
      <c r="AL10" s="192" t="s">
        <v>32</v>
      </c>
      <c r="AM10" s="191" t="s">
        <v>112</v>
      </c>
      <c r="AN10" s="191" t="s">
        <v>14</v>
      </c>
      <c r="AO10" s="192" t="s">
        <v>97</v>
      </c>
      <c r="AP10" s="203" t="s">
        <v>30</v>
      </c>
      <c r="AQ10" s="192" t="s">
        <v>36</v>
      </c>
      <c r="AR10" s="192" t="s">
        <v>12</v>
      </c>
      <c r="AS10" s="191" t="s">
        <v>101</v>
      </c>
      <c r="AT10" s="200"/>
    </row>
    <row r="11" s="156" customFormat="1" ht="77.1" customHeight="1" spans="1:46">
      <c r="A11" s="29" t="s">
        <v>115</v>
      </c>
      <c r="B11" s="191" t="s">
        <v>101</v>
      </c>
      <c r="C11" s="192" t="s">
        <v>97</v>
      </c>
      <c r="D11" s="192" t="s">
        <v>12</v>
      </c>
      <c r="E11" s="191" t="s">
        <v>14</v>
      </c>
      <c r="F11" s="204" t="s">
        <v>30</v>
      </c>
      <c r="G11" s="192" t="s">
        <v>32</v>
      </c>
      <c r="H11" s="191" t="s">
        <v>36</v>
      </c>
      <c r="I11" s="194" t="s">
        <v>98</v>
      </c>
      <c r="J11" s="191" t="s">
        <v>103</v>
      </c>
      <c r="K11" s="192" t="s">
        <v>32</v>
      </c>
      <c r="L11" s="191" t="s">
        <v>112</v>
      </c>
      <c r="M11" s="192" t="s">
        <v>12</v>
      </c>
      <c r="N11" s="192" t="s">
        <v>35</v>
      </c>
      <c r="O11" s="191" t="s">
        <v>97</v>
      </c>
      <c r="P11" s="192" t="s">
        <v>38</v>
      </c>
      <c r="Q11" s="191" t="s">
        <v>14</v>
      </c>
      <c r="R11" s="191" t="s">
        <v>101</v>
      </c>
      <c r="S11" s="191" t="s">
        <v>26</v>
      </c>
      <c r="T11" s="191" t="s">
        <v>97</v>
      </c>
      <c r="U11" s="192" t="s">
        <v>12</v>
      </c>
      <c r="V11" s="191" t="s">
        <v>113</v>
      </c>
      <c r="W11" s="205" t="s">
        <v>30</v>
      </c>
      <c r="X11" s="191" t="s">
        <v>14</v>
      </c>
      <c r="Y11" s="199" t="s">
        <v>43</v>
      </c>
      <c r="Z11" s="192" t="s">
        <v>35</v>
      </c>
      <c r="AA11" s="192" t="s">
        <v>32</v>
      </c>
      <c r="AB11" s="191" t="s">
        <v>99</v>
      </c>
      <c r="AC11" s="191" t="s">
        <v>101</v>
      </c>
      <c r="AD11" s="191" t="s">
        <v>14</v>
      </c>
      <c r="AE11" s="191" t="s">
        <v>114</v>
      </c>
      <c r="AF11" s="192" t="s">
        <v>35</v>
      </c>
      <c r="AG11" s="192" t="s">
        <v>32</v>
      </c>
      <c r="AH11" s="192" t="s">
        <v>36</v>
      </c>
      <c r="AI11" s="192" t="s">
        <v>12</v>
      </c>
      <c r="AJ11" s="192" t="s">
        <v>12</v>
      </c>
      <c r="AK11" s="191" t="s">
        <v>102</v>
      </c>
      <c r="AL11" s="191" t="s">
        <v>14</v>
      </c>
      <c r="AM11" s="192" t="s">
        <v>97</v>
      </c>
      <c r="AN11" s="191" t="s">
        <v>39</v>
      </c>
      <c r="AO11" s="204" t="s">
        <v>30</v>
      </c>
      <c r="AP11" s="191" t="s">
        <v>101</v>
      </c>
      <c r="AQ11" s="192" t="s">
        <v>12</v>
      </c>
      <c r="AR11" s="191" t="s">
        <v>32</v>
      </c>
      <c r="AS11" s="192" t="s">
        <v>112</v>
      </c>
      <c r="AT11" s="200"/>
    </row>
    <row r="12" s="156" customFormat="1" ht="77.1" customHeight="1" spans="1:46">
      <c r="A12" s="29" t="s">
        <v>116</v>
      </c>
      <c r="B12" s="192" t="s">
        <v>113</v>
      </c>
      <c r="C12" s="192" t="s">
        <v>12</v>
      </c>
      <c r="D12" s="191" t="s">
        <v>14</v>
      </c>
      <c r="E12" s="204" t="s">
        <v>30</v>
      </c>
      <c r="F12" s="206" t="s">
        <v>43</v>
      </c>
      <c r="G12" s="191" t="s">
        <v>32</v>
      </c>
      <c r="H12" s="191" t="s">
        <v>101</v>
      </c>
      <c r="I12" s="194" t="s">
        <v>98</v>
      </c>
      <c r="J12" s="191" t="s">
        <v>102</v>
      </c>
      <c r="K12" s="192" t="s">
        <v>32</v>
      </c>
      <c r="L12" s="192" t="s">
        <v>36</v>
      </c>
      <c r="M12" s="191" t="s">
        <v>14</v>
      </c>
      <c r="N12" s="191" t="s">
        <v>97</v>
      </c>
      <c r="O12" s="192" t="s">
        <v>12</v>
      </c>
      <c r="P12" s="191" t="s">
        <v>101</v>
      </c>
      <c r="Q12" s="191" t="s">
        <v>39</v>
      </c>
      <c r="R12" s="192" t="s">
        <v>38</v>
      </c>
      <c r="S12" s="191" t="s">
        <v>26</v>
      </c>
      <c r="T12" s="192" t="s">
        <v>32</v>
      </c>
      <c r="U12" s="191" t="s">
        <v>117</v>
      </c>
      <c r="V12" s="191" t="s">
        <v>14</v>
      </c>
      <c r="W12" s="191" t="s">
        <v>97</v>
      </c>
      <c r="X12" s="191" t="s">
        <v>101</v>
      </c>
      <c r="Y12" s="192" t="s">
        <v>35</v>
      </c>
      <c r="Z12" s="192" t="s">
        <v>12</v>
      </c>
      <c r="AA12" s="204" t="s">
        <v>30</v>
      </c>
      <c r="AB12" s="191" t="s">
        <v>103</v>
      </c>
      <c r="AC12" s="192" t="s">
        <v>35</v>
      </c>
      <c r="AD12" s="191" t="s">
        <v>36</v>
      </c>
      <c r="AE12" s="192" t="s">
        <v>97</v>
      </c>
      <c r="AF12" s="192" t="s">
        <v>12</v>
      </c>
      <c r="AG12" s="192" t="s">
        <v>12</v>
      </c>
      <c r="AH12" s="192" t="s">
        <v>32</v>
      </c>
      <c r="AI12" s="191" t="s">
        <v>14</v>
      </c>
      <c r="AJ12" s="191" t="s">
        <v>118</v>
      </c>
      <c r="AK12" s="191" t="s">
        <v>99</v>
      </c>
      <c r="AL12" s="192" t="s">
        <v>14</v>
      </c>
      <c r="AM12" s="191" t="s">
        <v>32</v>
      </c>
      <c r="AN12" s="191" t="s">
        <v>117</v>
      </c>
      <c r="AO12" s="191" t="s">
        <v>101</v>
      </c>
      <c r="AP12" s="191" t="s">
        <v>97</v>
      </c>
      <c r="AQ12" s="204" t="s">
        <v>30</v>
      </c>
      <c r="AR12" s="192" t="s">
        <v>12</v>
      </c>
      <c r="AS12" s="192" t="s">
        <v>35</v>
      </c>
      <c r="AT12" s="200"/>
    </row>
    <row r="13" s="156" customFormat="1" ht="77.1" customHeight="1" spans="1:46">
      <c r="A13" s="29" t="s">
        <v>119</v>
      </c>
      <c r="B13" s="192" t="s">
        <v>97</v>
      </c>
      <c r="C13" s="191" t="s">
        <v>14</v>
      </c>
      <c r="D13" s="192" t="s">
        <v>12</v>
      </c>
      <c r="E13" s="191" t="s">
        <v>35</v>
      </c>
      <c r="F13" s="191" t="s">
        <v>101</v>
      </c>
      <c r="G13" s="192" t="s">
        <v>32</v>
      </c>
      <c r="H13" s="191" t="s">
        <v>120</v>
      </c>
      <c r="I13" s="194" t="s">
        <v>98</v>
      </c>
      <c r="J13" s="191" t="s">
        <v>103</v>
      </c>
      <c r="K13" s="191" t="s">
        <v>35</v>
      </c>
      <c r="L13" s="192" t="s">
        <v>32</v>
      </c>
      <c r="M13" s="192" t="s">
        <v>12</v>
      </c>
      <c r="N13" s="191" t="s">
        <v>14</v>
      </c>
      <c r="O13" s="192" t="s">
        <v>36</v>
      </c>
      <c r="P13" s="207" t="s">
        <v>30</v>
      </c>
      <c r="Q13" s="191" t="s">
        <v>101</v>
      </c>
      <c r="R13" s="191" t="s">
        <v>39</v>
      </c>
      <c r="S13" s="191" t="s">
        <v>102</v>
      </c>
      <c r="T13" s="192" t="s">
        <v>97</v>
      </c>
      <c r="U13" s="191" t="s">
        <v>14</v>
      </c>
      <c r="V13" s="192" t="s">
        <v>38</v>
      </c>
      <c r="W13" s="192" t="s">
        <v>12</v>
      </c>
      <c r="X13" s="192" t="s">
        <v>36</v>
      </c>
      <c r="Y13" s="191" t="s">
        <v>32</v>
      </c>
      <c r="Z13" s="207" t="s">
        <v>30</v>
      </c>
      <c r="AA13" s="208" t="s">
        <v>43</v>
      </c>
      <c r="AB13" s="191" t="s">
        <v>99</v>
      </c>
      <c r="AC13" s="191" t="s">
        <v>35</v>
      </c>
      <c r="AD13" s="191" t="s">
        <v>14</v>
      </c>
      <c r="AE13" s="191" t="s">
        <v>118</v>
      </c>
      <c r="AF13" s="192" t="s">
        <v>97</v>
      </c>
      <c r="AG13" s="191" t="s">
        <v>101</v>
      </c>
      <c r="AH13" s="192" t="s">
        <v>32</v>
      </c>
      <c r="AI13" s="192" t="s">
        <v>12</v>
      </c>
      <c r="AJ13" s="192" t="s">
        <v>12</v>
      </c>
      <c r="AK13" s="191" t="s">
        <v>26</v>
      </c>
      <c r="AL13" s="191" t="s">
        <v>32</v>
      </c>
      <c r="AM13" s="192" t="s">
        <v>120</v>
      </c>
      <c r="AN13" s="192" t="s">
        <v>14</v>
      </c>
      <c r="AO13" s="209" t="s">
        <v>30</v>
      </c>
      <c r="AP13" s="191" t="s">
        <v>101</v>
      </c>
      <c r="AQ13" s="192" t="s">
        <v>12</v>
      </c>
      <c r="AR13" s="192" t="s">
        <v>97</v>
      </c>
      <c r="AS13" s="191" t="s">
        <v>113</v>
      </c>
      <c r="AT13" s="200"/>
    </row>
    <row r="14" s="156" customFormat="1" ht="77.1" customHeight="1" spans="1:46">
      <c r="A14" s="29" t="s">
        <v>121</v>
      </c>
      <c r="B14" s="192" t="s">
        <v>32</v>
      </c>
      <c r="C14" s="192" t="s">
        <v>12</v>
      </c>
      <c r="D14" s="192" t="s">
        <v>97</v>
      </c>
      <c r="E14" s="191" t="s">
        <v>101</v>
      </c>
      <c r="F14" s="192" t="s">
        <v>38</v>
      </c>
      <c r="G14" s="191" t="s">
        <v>14</v>
      </c>
      <c r="H14" s="209" t="s">
        <v>30</v>
      </c>
      <c r="I14" s="194" t="s">
        <v>98</v>
      </c>
      <c r="J14" s="191" t="s">
        <v>26</v>
      </c>
      <c r="K14" s="192" t="s">
        <v>32</v>
      </c>
      <c r="L14" s="191" t="s">
        <v>122</v>
      </c>
      <c r="M14" s="192" t="s">
        <v>12</v>
      </c>
      <c r="N14" s="192" t="s">
        <v>12</v>
      </c>
      <c r="O14" s="191" t="s">
        <v>14</v>
      </c>
      <c r="P14" s="191" t="s">
        <v>101</v>
      </c>
      <c r="Q14" s="192" t="s">
        <v>36</v>
      </c>
      <c r="R14" s="191" t="s">
        <v>35</v>
      </c>
      <c r="S14" s="191" t="s">
        <v>102</v>
      </c>
      <c r="T14" s="191" t="s">
        <v>14</v>
      </c>
      <c r="U14" s="192" t="s">
        <v>12</v>
      </c>
      <c r="V14" s="191" t="s">
        <v>123</v>
      </c>
      <c r="W14" s="191" t="s">
        <v>101</v>
      </c>
      <c r="X14" s="192" t="s">
        <v>97</v>
      </c>
      <c r="Y14" s="192" t="s">
        <v>32</v>
      </c>
      <c r="Z14" s="191" t="s">
        <v>35</v>
      </c>
      <c r="AA14" s="207" t="s">
        <v>30</v>
      </c>
      <c r="AB14" s="191" t="s">
        <v>103</v>
      </c>
      <c r="AC14" s="192" t="s">
        <v>32</v>
      </c>
      <c r="AD14" s="191" t="s">
        <v>122</v>
      </c>
      <c r="AE14" s="206" t="s">
        <v>43</v>
      </c>
      <c r="AF14" s="192" t="s">
        <v>35</v>
      </c>
      <c r="AG14" s="192" t="s">
        <v>12</v>
      </c>
      <c r="AH14" s="192" t="s">
        <v>97</v>
      </c>
      <c r="AI14" s="191" t="s">
        <v>124</v>
      </c>
      <c r="AJ14" s="191" t="s">
        <v>14</v>
      </c>
      <c r="AK14" s="191" t="s">
        <v>99</v>
      </c>
      <c r="AL14" s="191" t="s">
        <v>101</v>
      </c>
      <c r="AM14" s="191" t="s">
        <v>14</v>
      </c>
      <c r="AN14" s="207" t="s">
        <v>30</v>
      </c>
      <c r="AO14" s="192" t="s">
        <v>97</v>
      </c>
      <c r="AP14" s="192" t="s">
        <v>32</v>
      </c>
      <c r="AQ14" s="192" t="s">
        <v>36</v>
      </c>
      <c r="AR14" s="191" t="s">
        <v>39</v>
      </c>
      <c r="AS14" s="192" t="s">
        <v>12</v>
      </c>
      <c r="AT14" s="200"/>
    </row>
    <row r="15" s="156" customFormat="1" ht="77.1" customHeight="1" spans="1:46">
      <c r="A15" s="29" t="s">
        <v>125</v>
      </c>
      <c r="B15" s="192" t="s">
        <v>97</v>
      </c>
      <c r="C15" s="191" t="s">
        <v>14</v>
      </c>
      <c r="D15" s="192" t="s">
        <v>101</v>
      </c>
      <c r="E15" s="192" t="s">
        <v>38</v>
      </c>
      <c r="F15" s="192" t="s">
        <v>12</v>
      </c>
      <c r="G15" s="191" t="s">
        <v>32</v>
      </c>
      <c r="H15" s="191" t="s">
        <v>35</v>
      </c>
      <c r="I15" s="194" t="s">
        <v>98</v>
      </c>
      <c r="J15" s="191" t="s">
        <v>103</v>
      </c>
      <c r="K15" s="192" t="s">
        <v>36</v>
      </c>
      <c r="L15" s="191" t="s">
        <v>14</v>
      </c>
      <c r="M15" s="191" t="s">
        <v>35</v>
      </c>
      <c r="N15" s="191" t="s">
        <v>122</v>
      </c>
      <c r="O15" s="192" t="s">
        <v>32</v>
      </c>
      <c r="P15" s="192" t="s">
        <v>97</v>
      </c>
      <c r="Q15" s="192" t="s">
        <v>12</v>
      </c>
      <c r="R15" s="192" t="s">
        <v>12</v>
      </c>
      <c r="S15" s="191" t="s">
        <v>26</v>
      </c>
      <c r="T15" s="192" t="s">
        <v>97</v>
      </c>
      <c r="U15" s="191" t="s">
        <v>101</v>
      </c>
      <c r="V15" s="191" t="s">
        <v>14</v>
      </c>
      <c r="W15" s="207" t="s">
        <v>30</v>
      </c>
      <c r="X15" s="192" t="s">
        <v>12</v>
      </c>
      <c r="Y15" s="192" t="s">
        <v>32</v>
      </c>
      <c r="Z15" s="191" t="s">
        <v>39</v>
      </c>
      <c r="AA15" s="191" t="s">
        <v>123</v>
      </c>
      <c r="AB15" s="191" t="s">
        <v>99</v>
      </c>
      <c r="AC15" s="206" t="s">
        <v>43</v>
      </c>
      <c r="AD15" s="191" t="s">
        <v>124</v>
      </c>
      <c r="AE15" s="191" t="s">
        <v>14</v>
      </c>
      <c r="AF15" s="192" t="s">
        <v>12</v>
      </c>
      <c r="AG15" s="207" t="s">
        <v>30</v>
      </c>
      <c r="AH15" s="191" t="s">
        <v>101</v>
      </c>
      <c r="AI15" s="192" t="s">
        <v>32</v>
      </c>
      <c r="AJ15" s="191" t="s">
        <v>122</v>
      </c>
      <c r="AK15" s="191" t="s">
        <v>102</v>
      </c>
      <c r="AL15" s="192" t="s">
        <v>97</v>
      </c>
      <c r="AM15" s="191" t="s">
        <v>101</v>
      </c>
      <c r="AN15" s="191" t="s">
        <v>35</v>
      </c>
      <c r="AO15" s="192" t="s">
        <v>32</v>
      </c>
      <c r="AP15" s="191" t="s">
        <v>14</v>
      </c>
      <c r="AQ15" s="192" t="s">
        <v>12</v>
      </c>
      <c r="AR15" s="192" t="s">
        <v>36</v>
      </c>
      <c r="AS15" s="207" t="s">
        <v>30</v>
      </c>
      <c r="AT15" s="200"/>
    </row>
    <row r="16" s="156" customFormat="1" ht="77.1" customHeight="1" spans="1:46">
      <c r="A16" s="29" t="s">
        <v>126</v>
      </c>
      <c r="B16" s="192" t="s">
        <v>36</v>
      </c>
      <c r="C16" s="191" t="s">
        <v>35</v>
      </c>
      <c r="D16" s="210" t="s">
        <v>30</v>
      </c>
      <c r="E16" s="192" t="s">
        <v>12</v>
      </c>
      <c r="F16" s="191" t="s">
        <v>14</v>
      </c>
      <c r="G16" s="192" t="s">
        <v>32</v>
      </c>
      <c r="H16" s="191" t="s">
        <v>101</v>
      </c>
      <c r="I16" s="194" t="s">
        <v>98</v>
      </c>
      <c r="J16" s="191" t="s">
        <v>102</v>
      </c>
      <c r="K16" s="192" t="s">
        <v>32</v>
      </c>
      <c r="L16" s="191" t="s">
        <v>127</v>
      </c>
      <c r="M16" s="192" t="s">
        <v>12</v>
      </c>
      <c r="N16" s="192" t="s">
        <v>36</v>
      </c>
      <c r="O16" s="191" t="s">
        <v>14</v>
      </c>
      <c r="P16" s="210" t="s">
        <v>30</v>
      </c>
      <c r="Q16" s="211" t="s">
        <v>38</v>
      </c>
      <c r="R16" s="191" t="s">
        <v>97</v>
      </c>
      <c r="S16" s="191" t="s">
        <v>99</v>
      </c>
      <c r="T16" s="191" t="s">
        <v>128</v>
      </c>
      <c r="U16" s="191" t="s">
        <v>14</v>
      </c>
      <c r="V16" s="210" t="s">
        <v>30</v>
      </c>
      <c r="W16" s="191" t="s">
        <v>97</v>
      </c>
      <c r="X16" s="192" t="s">
        <v>12</v>
      </c>
      <c r="Y16" s="206" t="s">
        <v>43</v>
      </c>
      <c r="Z16" s="192" t="s">
        <v>32</v>
      </c>
      <c r="AA16" s="191" t="s">
        <v>101</v>
      </c>
      <c r="AB16" s="191" t="s">
        <v>103</v>
      </c>
      <c r="AC16" s="191" t="s">
        <v>39</v>
      </c>
      <c r="AD16" s="191" t="s">
        <v>97</v>
      </c>
      <c r="AE16" s="191" t="s">
        <v>101</v>
      </c>
      <c r="AF16" s="192" t="s">
        <v>32</v>
      </c>
      <c r="AG16" s="191" t="s">
        <v>35</v>
      </c>
      <c r="AH16" s="192" t="s">
        <v>14</v>
      </c>
      <c r="AI16" s="192" t="s">
        <v>12</v>
      </c>
      <c r="AJ16" s="191" t="s">
        <v>12</v>
      </c>
      <c r="AK16" s="191" t="s">
        <v>26</v>
      </c>
      <c r="AL16" s="191" t="s">
        <v>129</v>
      </c>
      <c r="AM16" s="191" t="s">
        <v>14</v>
      </c>
      <c r="AN16" s="191" t="s">
        <v>101</v>
      </c>
      <c r="AO16" s="191" t="s">
        <v>35</v>
      </c>
      <c r="AP16" s="191" t="s">
        <v>97</v>
      </c>
      <c r="AQ16" s="192" t="s">
        <v>12</v>
      </c>
      <c r="AR16" s="191" t="s">
        <v>127</v>
      </c>
      <c r="AS16" s="192" t="s">
        <v>32</v>
      </c>
      <c r="AT16" s="198"/>
    </row>
    <row r="17" s="156" customFormat="1" ht="77.1" customHeight="1" spans="1:46">
      <c r="A17" s="29" t="s">
        <v>130</v>
      </c>
      <c r="B17" s="192" t="s">
        <v>32</v>
      </c>
      <c r="C17" s="192" t="s">
        <v>36</v>
      </c>
      <c r="D17" s="191" t="s">
        <v>97</v>
      </c>
      <c r="E17" s="191" t="s">
        <v>14</v>
      </c>
      <c r="F17" s="191" t="s">
        <v>101</v>
      </c>
      <c r="G17" s="210" t="s">
        <v>30</v>
      </c>
      <c r="H17" s="192" t="s">
        <v>12</v>
      </c>
      <c r="I17" s="194" t="s">
        <v>98</v>
      </c>
      <c r="J17" s="191" t="s">
        <v>26</v>
      </c>
      <c r="K17" s="191" t="s">
        <v>35</v>
      </c>
      <c r="L17" s="192" t="s">
        <v>12</v>
      </c>
      <c r="M17" s="192" t="s">
        <v>36</v>
      </c>
      <c r="N17" s="192" t="s">
        <v>32</v>
      </c>
      <c r="O17" s="191" t="s">
        <v>127</v>
      </c>
      <c r="P17" s="211" t="s">
        <v>38</v>
      </c>
      <c r="Q17" s="191" t="s">
        <v>14</v>
      </c>
      <c r="R17" s="191" t="s">
        <v>101</v>
      </c>
      <c r="S17" s="191" t="s">
        <v>102</v>
      </c>
      <c r="T17" s="191" t="s">
        <v>14</v>
      </c>
      <c r="U17" s="192" t="s">
        <v>12</v>
      </c>
      <c r="V17" s="191" t="s">
        <v>97</v>
      </c>
      <c r="W17" s="210" t="s">
        <v>30</v>
      </c>
      <c r="X17" s="191" t="s">
        <v>123</v>
      </c>
      <c r="Y17" s="192" t="s">
        <v>32</v>
      </c>
      <c r="Z17" s="206" t="s">
        <v>43</v>
      </c>
      <c r="AA17" s="191" t="s">
        <v>39</v>
      </c>
      <c r="AB17" s="191" t="s">
        <v>99</v>
      </c>
      <c r="AC17" s="192" t="s">
        <v>32</v>
      </c>
      <c r="AD17" s="191" t="s">
        <v>101</v>
      </c>
      <c r="AE17" s="192" t="s">
        <v>12</v>
      </c>
      <c r="AF17" s="192" t="s">
        <v>12</v>
      </c>
      <c r="AG17" s="210" t="s">
        <v>30</v>
      </c>
      <c r="AH17" s="191" t="s">
        <v>35</v>
      </c>
      <c r="AI17" s="191" t="s">
        <v>14</v>
      </c>
      <c r="AJ17" s="191" t="s">
        <v>97</v>
      </c>
      <c r="AK17" s="191" t="s">
        <v>103</v>
      </c>
      <c r="AL17" s="191" t="s">
        <v>35</v>
      </c>
      <c r="AM17" s="191" t="s">
        <v>127</v>
      </c>
      <c r="AN17" s="192" t="s">
        <v>32</v>
      </c>
      <c r="AO17" s="191" t="s">
        <v>129</v>
      </c>
      <c r="AP17" s="191" t="s">
        <v>14</v>
      </c>
      <c r="AQ17" s="191" t="s">
        <v>97</v>
      </c>
      <c r="AR17" s="192" t="s">
        <v>12</v>
      </c>
      <c r="AS17" s="191" t="s">
        <v>101</v>
      </c>
      <c r="AT17" s="200"/>
    </row>
    <row r="18" s="156" customFormat="1" ht="77.1" customHeight="1" spans="1:46">
      <c r="A18" s="29" t="s">
        <v>131</v>
      </c>
      <c r="B18" s="192" t="s">
        <v>32</v>
      </c>
      <c r="C18" s="191" t="s">
        <v>14</v>
      </c>
      <c r="D18" s="212" t="s">
        <v>30</v>
      </c>
      <c r="E18" s="191" t="s">
        <v>101</v>
      </c>
      <c r="F18" s="191" t="s">
        <v>97</v>
      </c>
      <c r="G18" s="192" t="s">
        <v>12</v>
      </c>
      <c r="H18" s="191" t="s">
        <v>39</v>
      </c>
      <c r="I18" s="194" t="s">
        <v>98</v>
      </c>
      <c r="J18" s="191" t="s">
        <v>26</v>
      </c>
      <c r="K18" s="191" t="s">
        <v>128</v>
      </c>
      <c r="L18" s="191" t="s">
        <v>14</v>
      </c>
      <c r="M18" s="191" t="s">
        <v>35</v>
      </c>
      <c r="N18" s="192" t="s">
        <v>12</v>
      </c>
      <c r="O18" s="192" t="s">
        <v>12</v>
      </c>
      <c r="P18" s="191" t="s">
        <v>101</v>
      </c>
      <c r="Q18" s="192" t="s">
        <v>32</v>
      </c>
      <c r="R18" s="191" t="s">
        <v>132</v>
      </c>
      <c r="S18" s="191" t="s">
        <v>102</v>
      </c>
      <c r="T18" s="191" t="s">
        <v>14</v>
      </c>
      <c r="U18" s="192" t="s">
        <v>12</v>
      </c>
      <c r="V18" s="191" t="s">
        <v>97</v>
      </c>
      <c r="W18" s="211" t="s">
        <v>38</v>
      </c>
      <c r="X18" s="191" t="s">
        <v>101</v>
      </c>
      <c r="Y18" s="212" t="s">
        <v>30</v>
      </c>
      <c r="Z18" s="191" t="s">
        <v>35</v>
      </c>
      <c r="AA18" s="192" t="s">
        <v>32</v>
      </c>
      <c r="AB18" s="191" t="s">
        <v>103</v>
      </c>
      <c r="AC18" s="192" t="s">
        <v>97</v>
      </c>
      <c r="AD18" s="191" t="s">
        <v>35</v>
      </c>
      <c r="AE18" s="191" t="s">
        <v>36</v>
      </c>
      <c r="AF18" s="192" t="s">
        <v>32</v>
      </c>
      <c r="AG18" s="192" t="s">
        <v>12</v>
      </c>
      <c r="AH18" s="191" t="s">
        <v>14</v>
      </c>
      <c r="AI18" s="191" t="s">
        <v>133</v>
      </c>
      <c r="AJ18" s="212" t="s">
        <v>30</v>
      </c>
      <c r="AK18" s="191" t="s">
        <v>99</v>
      </c>
      <c r="AL18" s="191" t="s">
        <v>101</v>
      </c>
      <c r="AM18" s="191" t="s">
        <v>14</v>
      </c>
      <c r="AN18" s="191" t="s">
        <v>97</v>
      </c>
      <c r="AO18" s="192" t="s">
        <v>32</v>
      </c>
      <c r="AP18" s="191" t="s">
        <v>132</v>
      </c>
      <c r="AQ18" s="192" t="s">
        <v>12</v>
      </c>
      <c r="AR18" s="206" t="s">
        <v>43</v>
      </c>
      <c r="AS18" s="192" t="s">
        <v>36</v>
      </c>
      <c r="AT18" s="198"/>
    </row>
    <row r="19" s="156" customFormat="1" ht="77.1" customHeight="1" spans="1:46">
      <c r="A19" s="39" t="s">
        <v>134</v>
      </c>
      <c r="B19" s="213" t="s">
        <v>101</v>
      </c>
      <c r="C19" s="214" t="s">
        <v>12</v>
      </c>
      <c r="D19" s="213" t="s">
        <v>14</v>
      </c>
      <c r="E19" s="215" t="s">
        <v>30</v>
      </c>
      <c r="F19" s="216" t="s">
        <v>38</v>
      </c>
      <c r="G19" s="213" t="s">
        <v>32</v>
      </c>
      <c r="H19" s="214" t="s">
        <v>36</v>
      </c>
      <c r="I19" s="217" t="s">
        <v>98</v>
      </c>
      <c r="J19" s="213" t="s">
        <v>102</v>
      </c>
      <c r="K19" s="214" t="s">
        <v>32</v>
      </c>
      <c r="L19" s="213" t="s">
        <v>132</v>
      </c>
      <c r="M19" s="213" t="s">
        <v>14</v>
      </c>
      <c r="N19" s="213" t="s">
        <v>35</v>
      </c>
      <c r="O19" s="213" t="s">
        <v>97</v>
      </c>
      <c r="P19" s="213" t="s">
        <v>101</v>
      </c>
      <c r="Q19" s="214" t="s">
        <v>12</v>
      </c>
      <c r="R19" s="214" t="s">
        <v>12</v>
      </c>
      <c r="S19" s="213" t="s">
        <v>26</v>
      </c>
      <c r="T19" s="213" t="s">
        <v>97</v>
      </c>
      <c r="U19" s="213" t="s">
        <v>14</v>
      </c>
      <c r="V19" s="213" t="s">
        <v>128</v>
      </c>
      <c r="W19" s="218" t="s">
        <v>30</v>
      </c>
      <c r="X19" s="213" t="s">
        <v>39</v>
      </c>
      <c r="Y19" s="213" t="s">
        <v>35</v>
      </c>
      <c r="Z19" s="214" t="s">
        <v>32</v>
      </c>
      <c r="AA19" s="214" t="s">
        <v>12</v>
      </c>
      <c r="AB19" s="213" t="s">
        <v>99</v>
      </c>
      <c r="AC19" s="213" t="s">
        <v>97</v>
      </c>
      <c r="AD19" s="214" t="s">
        <v>32</v>
      </c>
      <c r="AE19" s="213" t="s">
        <v>35</v>
      </c>
      <c r="AF19" s="214" t="s">
        <v>12</v>
      </c>
      <c r="AG19" s="218" t="s">
        <v>30</v>
      </c>
      <c r="AH19" s="213" t="s">
        <v>101</v>
      </c>
      <c r="AI19" s="213" t="s">
        <v>14</v>
      </c>
      <c r="AJ19" s="213" t="s">
        <v>135</v>
      </c>
      <c r="AK19" s="213" t="s">
        <v>103</v>
      </c>
      <c r="AL19" s="214" t="s">
        <v>32</v>
      </c>
      <c r="AM19" s="213" t="s">
        <v>132</v>
      </c>
      <c r="AN19" s="213" t="s">
        <v>101</v>
      </c>
      <c r="AO19" s="213" t="s">
        <v>14</v>
      </c>
      <c r="AP19" s="213" t="s">
        <v>97</v>
      </c>
      <c r="AQ19" s="219" t="s">
        <v>43</v>
      </c>
      <c r="AR19" s="214" t="s">
        <v>36</v>
      </c>
      <c r="AS19" s="214" t="s">
        <v>12</v>
      </c>
      <c r="AT19" s="220"/>
    </row>
    <row r="20" s="157" customFormat="1" ht="78" customHeight="1" spans="1:46">
      <c r="A20" s="23" t="s">
        <v>136</v>
      </c>
      <c r="B20" s="183" t="s">
        <v>32</v>
      </c>
      <c r="C20" s="183" t="s">
        <v>12</v>
      </c>
      <c r="D20" s="183" t="s">
        <v>14</v>
      </c>
      <c r="E20" s="221" t="s">
        <v>39</v>
      </c>
      <c r="F20" s="183" t="s">
        <v>38</v>
      </c>
      <c r="G20" s="183" t="s">
        <v>97</v>
      </c>
      <c r="H20" s="183" t="s">
        <v>35</v>
      </c>
      <c r="I20" s="187" t="s">
        <v>98</v>
      </c>
      <c r="J20" s="183" t="s">
        <v>29</v>
      </c>
      <c r="K20" s="183" t="s">
        <v>32</v>
      </c>
      <c r="L20" s="183" t="s">
        <v>26</v>
      </c>
      <c r="M20" s="183" t="s">
        <v>14</v>
      </c>
      <c r="N20" s="183" t="s">
        <v>12</v>
      </c>
      <c r="O20" s="183" t="s">
        <v>12</v>
      </c>
      <c r="P20" s="222" t="s">
        <v>30</v>
      </c>
      <c r="Q20" s="223" t="s">
        <v>36</v>
      </c>
      <c r="R20" s="187" t="s">
        <v>41</v>
      </c>
      <c r="S20" s="224" t="s">
        <v>33</v>
      </c>
      <c r="T20" s="183" t="s">
        <v>14</v>
      </c>
      <c r="U20" s="225" t="s">
        <v>43</v>
      </c>
      <c r="V20" s="183" t="s">
        <v>29</v>
      </c>
      <c r="W20" s="183" t="s">
        <v>137</v>
      </c>
      <c r="X20" s="222" t="s">
        <v>30</v>
      </c>
      <c r="Y20" s="226" t="s">
        <v>33</v>
      </c>
      <c r="Z20" s="183" t="s">
        <v>32</v>
      </c>
      <c r="AA20" s="183" t="s">
        <v>12</v>
      </c>
      <c r="AB20" s="183" t="s">
        <v>138</v>
      </c>
      <c r="AC20" s="183" t="s">
        <v>29</v>
      </c>
      <c r="AD20" s="183" t="s">
        <v>35</v>
      </c>
      <c r="AE20" s="183" t="s">
        <v>97</v>
      </c>
      <c r="AF20" s="183" t="s">
        <v>14</v>
      </c>
      <c r="AG20" s="183" t="s">
        <v>32</v>
      </c>
      <c r="AH20" s="183" t="s">
        <v>12</v>
      </c>
      <c r="AI20" s="226" t="s">
        <v>33</v>
      </c>
      <c r="AJ20" s="223" t="s">
        <v>36</v>
      </c>
      <c r="AL20" s="183" t="s">
        <v>29</v>
      </c>
      <c r="AM20" s="183" t="s">
        <v>14</v>
      </c>
      <c r="AN20" s="226" t="s">
        <v>33</v>
      </c>
      <c r="AO20" s="183" t="s">
        <v>32</v>
      </c>
      <c r="AP20" s="183" t="s">
        <v>139</v>
      </c>
      <c r="AQ20" s="222" t="s">
        <v>30</v>
      </c>
      <c r="AR20" s="183" t="s">
        <v>97</v>
      </c>
      <c r="AS20" s="183" t="s">
        <v>12</v>
      </c>
      <c r="AT20" s="227"/>
    </row>
    <row r="21" ht="63" spans="1:46">
      <c r="A21" s="29" t="s">
        <v>140</v>
      </c>
      <c r="B21" s="191" t="s">
        <v>35</v>
      </c>
      <c r="C21" s="191" t="s">
        <v>14</v>
      </c>
      <c r="D21" s="191" t="s">
        <v>32</v>
      </c>
      <c r="E21" s="228" t="s">
        <v>30</v>
      </c>
      <c r="F21" s="191" t="s">
        <v>29</v>
      </c>
      <c r="G21" s="196" t="s">
        <v>43</v>
      </c>
      <c r="H21" s="191" t="s">
        <v>12</v>
      </c>
      <c r="I21" s="194" t="s">
        <v>98</v>
      </c>
      <c r="J21" s="191" t="s">
        <v>138</v>
      </c>
      <c r="K21" s="191" t="s">
        <v>12</v>
      </c>
      <c r="L21" s="191" t="s">
        <v>12</v>
      </c>
      <c r="M21" s="191" t="s">
        <v>137</v>
      </c>
      <c r="N21" s="191" t="s">
        <v>32</v>
      </c>
      <c r="O21" s="207" t="s">
        <v>33</v>
      </c>
      <c r="P21" s="191" t="s">
        <v>26</v>
      </c>
      <c r="Q21" s="191" t="s">
        <v>14</v>
      </c>
      <c r="R21" s="194" t="s">
        <v>41</v>
      </c>
      <c r="S21" s="192" t="s">
        <v>29</v>
      </c>
      <c r="T21" s="191" t="s">
        <v>29</v>
      </c>
      <c r="U21" s="191" t="s">
        <v>12</v>
      </c>
      <c r="V21" s="191" t="s">
        <v>97</v>
      </c>
      <c r="W21" s="191" t="s">
        <v>14</v>
      </c>
      <c r="X21" s="191" t="s">
        <v>38</v>
      </c>
      <c r="Y21" s="191" t="s">
        <v>32</v>
      </c>
      <c r="Z21" s="229" t="s">
        <v>36</v>
      </c>
      <c r="AA21" s="206" t="s">
        <v>39</v>
      </c>
      <c r="AB21" s="209" t="s">
        <v>33</v>
      </c>
      <c r="AC21" s="191" t="s">
        <v>97</v>
      </c>
      <c r="AD21" s="191" t="s">
        <v>12</v>
      </c>
      <c r="AE21" s="191" t="s">
        <v>32</v>
      </c>
      <c r="AF21" s="191" t="s">
        <v>29</v>
      </c>
      <c r="AG21" s="191" t="s">
        <v>14</v>
      </c>
      <c r="AH21" s="207" t="s">
        <v>33</v>
      </c>
      <c r="AI21" s="229" t="s">
        <v>36</v>
      </c>
      <c r="AJ21" s="228" t="s">
        <v>30</v>
      </c>
      <c r="AL21" s="191" t="s">
        <v>32</v>
      </c>
      <c r="AM21" s="191" t="s">
        <v>139</v>
      </c>
      <c r="AN21" s="191" t="s">
        <v>97</v>
      </c>
      <c r="AO21" s="191" t="s">
        <v>35</v>
      </c>
      <c r="AP21" s="191" t="s">
        <v>14</v>
      </c>
      <c r="AQ21" s="209" t="s">
        <v>33</v>
      </c>
      <c r="AR21" s="191" t="s">
        <v>12</v>
      </c>
      <c r="AS21" s="228" t="s">
        <v>30</v>
      </c>
      <c r="AT21" s="230"/>
    </row>
    <row r="22" ht="63" spans="1:46">
      <c r="A22" s="29" t="s">
        <v>141</v>
      </c>
      <c r="B22" s="191" t="s">
        <v>32</v>
      </c>
      <c r="C22" s="193" t="s">
        <v>43</v>
      </c>
      <c r="D22" s="191" t="s">
        <v>12</v>
      </c>
      <c r="E22" s="191" t="s">
        <v>29</v>
      </c>
      <c r="F22" s="191" t="s">
        <v>14</v>
      </c>
      <c r="G22" s="229" t="s">
        <v>36</v>
      </c>
      <c r="H22" s="191" t="s">
        <v>97</v>
      </c>
      <c r="I22" s="194" t="s">
        <v>98</v>
      </c>
      <c r="J22" s="207" t="s">
        <v>33</v>
      </c>
      <c r="K22" s="191" t="s">
        <v>29</v>
      </c>
      <c r="L22" s="231" t="s">
        <v>32</v>
      </c>
      <c r="M22" s="191" t="s">
        <v>12</v>
      </c>
      <c r="N22" s="191" t="s">
        <v>12</v>
      </c>
      <c r="O22" s="231" t="s">
        <v>137</v>
      </c>
      <c r="P22" s="191" t="s">
        <v>14</v>
      </c>
      <c r="Q22" s="209" t="s">
        <v>33</v>
      </c>
      <c r="R22" s="194" t="s">
        <v>41</v>
      </c>
      <c r="S22" s="191" t="s">
        <v>138</v>
      </c>
      <c r="T22" s="191" t="s">
        <v>97</v>
      </c>
      <c r="U22" s="228" t="s">
        <v>30</v>
      </c>
      <c r="V22" s="191" t="s">
        <v>14</v>
      </c>
      <c r="W22" s="229" t="s">
        <v>36</v>
      </c>
      <c r="X22" s="191" t="s">
        <v>12</v>
      </c>
      <c r="Y22" s="191" t="s">
        <v>35</v>
      </c>
      <c r="Z22" s="191" t="s">
        <v>32</v>
      </c>
      <c r="AA22" s="209" t="s">
        <v>33</v>
      </c>
      <c r="AB22" s="192" t="s">
        <v>29</v>
      </c>
      <c r="AC22" s="206" t="s">
        <v>39</v>
      </c>
      <c r="AD22" s="228" t="s">
        <v>30</v>
      </c>
      <c r="AE22" s="191" t="s">
        <v>35</v>
      </c>
      <c r="AF22" s="191" t="s">
        <v>32</v>
      </c>
      <c r="AG22" s="191" t="s">
        <v>142</v>
      </c>
      <c r="AH22" s="191" t="s">
        <v>12</v>
      </c>
      <c r="AI22" s="191" t="s">
        <v>29</v>
      </c>
      <c r="AJ22" s="191" t="s">
        <v>14</v>
      </c>
      <c r="AK22" s="192"/>
      <c r="AL22" s="191" t="s">
        <v>14</v>
      </c>
      <c r="AM22" s="191" t="s">
        <v>26</v>
      </c>
      <c r="AN22" s="191" t="s">
        <v>38</v>
      </c>
      <c r="AO22" s="228" t="s">
        <v>30</v>
      </c>
      <c r="AP22" s="191" t="s">
        <v>97</v>
      </c>
      <c r="AQ22" s="191" t="s">
        <v>12</v>
      </c>
      <c r="AR22" s="209" t="s">
        <v>33</v>
      </c>
      <c r="AS22" s="191" t="s">
        <v>32</v>
      </c>
      <c r="AT22" s="230"/>
    </row>
    <row r="23" ht="63" spans="1:46">
      <c r="A23" s="29" t="s">
        <v>143</v>
      </c>
      <c r="B23" s="232" t="s">
        <v>97</v>
      </c>
      <c r="C23" s="233" t="s">
        <v>30</v>
      </c>
      <c r="D23" s="231" t="s">
        <v>32</v>
      </c>
      <c r="E23" s="191" t="s">
        <v>14</v>
      </c>
      <c r="F23" s="191" t="s">
        <v>33</v>
      </c>
      <c r="G23" s="191" t="s">
        <v>12</v>
      </c>
      <c r="H23" s="191" t="s">
        <v>29</v>
      </c>
      <c r="I23" s="194" t="s">
        <v>98</v>
      </c>
      <c r="J23" s="191" t="s">
        <v>138</v>
      </c>
      <c r="K23" s="229" t="s">
        <v>36</v>
      </c>
      <c r="L23" s="191" t="s">
        <v>14</v>
      </c>
      <c r="M23" s="234" t="s">
        <v>97</v>
      </c>
      <c r="N23" s="192" t="s">
        <v>35</v>
      </c>
      <c r="O23" s="231" t="s">
        <v>32</v>
      </c>
      <c r="P23" s="191" t="s">
        <v>12</v>
      </c>
      <c r="Q23" s="191" t="s">
        <v>12</v>
      </c>
      <c r="R23" s="194" t="s">
        <v>41</v>
      </c>
      <c r="S23" s="192" t="s">
        <v>29</v>
      </c>
      <c r="T23" s="191" t="s">
        <v>14</v>
      </c>
      <c r="U23" s="191" t="s">
        <v>38</v>
      </c>
      <c r="V23" s="191" t="s">
        <v>12</v>
      </c>
      <c r="W23" s="206" t="s">
        <v>39</v>
      </c>
      <c r="X23" s="235" t="s">
        <v>43</v>
      </c>
      <c r="Y23" s="191" t="s">
        <v>32</v>
      </c>
      <c r="Z23" s="228" t="s">
        <v>30</v>
      </c>
      <c r="AA23" s="191" t="s">
        <v>35</v>
      </c>
      <c r="AB23" s="192" t="s">
        <v>33</v>
      </c>
      <c r="AC23" s="191" t="s">
        <v>33</v>
      </c>
      <c r="AD23" s="191" t="s">
        <v>12</v>
      </c>
      <c r="AE23" s="191" t="s">
        <v>29</v>
      </c>
      <c r="AF23" s="228" t="s">
        <v>30</v>
      </c>
      <c r="AG23" s="232" t="s">
        <v>97</v>
      </c>
      <c r="AH23" s="191" t="s">
        <v>14</v>
      </c>
      <c r="AI23" s="191" t="s">
        <v>32</v>
      </c>
      <c r="AJ23" s="191" t="s">
        <v>142</v>
      </c>
      <c r="AL23" s="191" t="s">
        <v>29</v>
      </c>
      <c r="AM23" s="191" t="s">
        <v>32</v>
      </c>
      <c r="AN23" s="232" t="s">
        <v>144</v>
      </c>
      <c r="AO23" s="191" t="s">
        <v>26</v>
      </c>
      <c r="AP23" s="191" t="s">
        <v>14</v>
      </c>
      <c r="AQ23" s="229" t="s">
        <v>36</v>
      </c>
      <c r="AR23" s="191" t="s">
        <v>12</v>
      </c>
      <c r="AS23" s="191" t="s">
        <v>33</v>
      </c>
      <c r="AT23" s="230"/>
    </row>
    <row r="24" ht="63" spans="1:46">
      <c r="A24" s="29" t="s">
        <v>145</v>
      </c>
      <c r="B24" s="191" t="s">
        <v>14</v>
      </c>
      <c r="C24" s="191" t="s">
        <v>12</v>
      </c>
      <c r="D24" s="191" t="s">
        <v>38</v>
      </c>
      <c r="E24" s="232" t="s">
        <v>97</v>
      </c>
      <c r="F24" s="236" t="s">
        <v>30</v>
      </c>
      <c r="G24" s="191" t="s">
        <v>32</v>
      </c>
      <c r="H24" s="235" t="s">
        <v>43</v>
      </c>
      <c r="I24" s="194" t="s">
        <v>98</v>
      </c>
      <c r="J24" s="192" t="s">
        <v>33</v>
      </c>
      <c r="K24" s="191" t="s">
        <v>35</v>
      </c>
      <c r="L24" s="191" t="s">
        <v>12</v>
      </c>
      <c r="M24" s="191" t="s">
        <v>14</v>
      </c>
      <c r="N24" s="191" t="s">
        <v>32</v>
      </c>
      <c r="O24" s="191" t="s">
        <v>146</v>
      </c>
      <c r="P24" s="191" t="s">
        <v>33</v>
      </c>
      <c r="Q24" s="237" t="s">
        <v>30</v>
      </c>
      <c r="R24" s="194" t="s">
        <v>41</v>
      </c>
      <c r="S24" s="191" t="s">
        <v>138</v>
      </c>
      <c r="T24" s="229" t="s">
        <v>36</v>
      </c>
      <c r="U24" s="232" t="s">
        <v>97</v>
      </c>
      <c r="V24" s="191" t="s">
        <v>14</v>
      </c>
      <c r="W24" s="191" t="s">
        <v>29</v>
      </c>
      <c r="X24" s="206" t="s">
        <v>39</v>
      </c>
      <c r="Y24" s="191" t="s">
        <v>12</v>
      </c>
      <c r="Z24" s="191" t="s">
        <v>12</v>
      </c>
      <c r="AA24" s="191" t="s">
        <v>32</v>
      </c>
      <c r="AB24" s="192" t="s">
        <v>29</v>
      </c>
      <c r="AC24" s="191" t="s">
        <v>12</v>
      </c>
      <c r="AD24" s="191" t="s">
        <v>29</v>
      </c>
      <c r="AE24" s="191" t="s">
        <v>33</v>
      </c>
      <c r="AF24" s="232" t="s">
        <v>97</v>
      </c>
      <c r="AG24" s="237" t="s">
        <v>30</v>
      </c>
      <c r="AH24" s="191" t="s">
        <v>32</v>
      </c>
      <c r="AI24" s="191" t="s">
        <v>26</v>
      </c>
      <c r="AJ24" s="191" t="s">
        <v>14</v>
      </c>
      <c r="AL24" s="191" t="s">
        <v>32</v>
      </c>
      <c r="AM24" s="232" t="s">
        <v>144</v>
      </c>
      <c r="AN24" s="191" t="s">
        <v>14</v>
      </c>
      <c r="AO24" s="191" t="s">
        <v>29</v>
      </c>
      <c r="AP24" s="191" t="s">
        <v>35</v>
      </c>
      <c r="AQ24" s="191" t="s">
        <v>12</v>
      </c>
      <c r="AR24" s="191" t="s">
        <v>33</v>
      </c>
      <c r="AS24" s="229" t="s">
        <v>36</v>
      </c>
      <c r="AT24" s="230"/>
    </row>
    <row r="25" ht="63" spans="1:46">
      <c r="A25" s="29" t="s">
        <v>147</v>
      </c>
      <c r="B25" s="191" t="s">
        <v>32</v>
      </c>
      <c r="C25" s="191" t="s">
        <v>38</v>
      </c>
      <c r="D25" s="191" t="s">
        <v>14</v>
      </c>
      <c r="E25" s="191" t="s">
        <v>33</v>
      </c>
      <c r="F25" s="232" t="s">
        <v>97</v>
      </c>
      <c r="G25" s="191" t="s">
        <v>29</v>
      </c>
      <c r="H25" s="191" t="s">
        <v>12</v>
      </c>
      <c r="I25" s="194" t="s">
        <v>98</v>
      </c>
      <c r="J25" s="191" t="s">
        <v>29</v>
      </c>
      <c r="K25" s="191" t="s">
        <v>32</v>
      </c>
      <c r="L25" s="191" t="s">
        <v>148</v>
      </c>
      <c r="M25" s="238" t="s">
        <v>36</v>
      </c>
      <c r="N25" s="234" t="s">
        <v>97</v>
      </c>
      <c r="O25" s="191" t="s">
        <v>14</v>
      </c>
      <c r="P25" s="191" t="s">
        <v>12</v>
      </c>
      <c r="Q25" s="206" t="s">
        <v>39</v>
      </c>
      <c r="R25" s="194" t="s">
        <v>41</v>
      </c>
      <c r="S25" s="192" t="s">
        <v>33</v>
      </c>
      <c r="T25" s="191" t="s">
        <v>14</v>
      </c>
      <c r="U25" s="192" t="s">
        <v>29</v>
      </c>
      <c r="V25" s="191" t="s">
        <v>12</v>
      </c>
      <c r="W25" s="191" t="s">
        <v>12</v>
      </c>
      <c r="X25" s="237" t="s">
        <v>30</v>
      </c>
      <c r="Y25" s="191" t="s">
        <v>32</v>
      </c>
      <c r="Z25" s="239" t="s">
        <v>35</v>
      </c>
      <c r="AA25" s="191" t="s">
        <v>33</v>
      </c>
      <c r="AB25" s="191" t="s">
        <v>138</v>
      </c>
      <c r="AC25" s="229" t="s">
        <v>36</v>
      </c>
      <c r="AD25" s="232" t="s">
        <v>97</v>
      </c>
      <c r="AE25" s="191" t="s">
        <v>12</v>
      </c>
      <c r="AF25" s="191" t="s">
        <v>14</v>
      </c>
      <c r="AG25" s="191" t="s">
        <v>26</v>
      </c>
      <c r="AH25" s="191" t="s">
        <v>32</v>
      </c>
      <c r="AI25" s="235" t="s">
        <v>43</v>
      </c>
      <c r="AJ25" s="237" t="s">
        <v>30</v>
      </c>
      <c r="AL25" s="191" t="s">
        <v>33</v>
      </c>
      <c r="AM25" s="239" t="s">
        <v>35</v>
      </c>
      <c r="AN25" s="191" t="s">
        <v>29</v>
      </c>
      <c r="AO25" s="191" t="s">
        <v>32</v>
      </c>
      <c r="AP25" s="237" t="s">
        <v>30</v>
      </c>
      <c r="AQ25" s="191" t="s">
        <v>14</v>
      </c>
      <c r="AR25" s="191" t="s">
        <v>12</v>
      </c>
      <c r="AS25" s="191" t="s">
        <v>144</v>
      </c>
      <c r="AT25" s="230"/>
    </row>
    <row r="26" ht="63" spans="1:46">
      <c r="A26" s="29" t="s">
        <v>149</v>
      </c>
      <c r="B26" s="240" t="s">
        <v>36</v>
      </c>
      <c r="C26" s="241" t="s">
        <v>30</v>
      </c>
      <c r="D26" s="242" t="s">
        <v>29</v>
      </c>
      <c r="E26" s="191" t="s">
        <v>14</v>
      </c>
      <c r="F26" s="191" t="s">
        <v>12</v>
      </c>
      <c r="G26" s="191" t="s">
        <v>97</v>
      </c>
      <c r="H26" s="191" t="s">
        <v>32</v>
      </c>
      <c r="I26" s="194" t="s">
        <v>98</v>
      </c>
      <c r="J26" s="192" t="s">
        <v>33</v>
      </c>
      <c r="K26" s="243" t="s">
        <v>35</v>
      </c>
      <c r="L26" s="191" t="s">
        <v>12</v>
      </c>
      <c r="M26" s="191" t="s">
        <v>12</v>
      </c>
      <c r="N26" s="191" t="s">
        <v>32</v>
      </c>
      <c r="O26" s="191" t="s">
        <v>14</v>
      </c>
      <c r="P26" s="191" t="s">
        <v>97</v>
      </c>
      <c r="Q26" s="191" t="s">
        <v>33</v>
      </c>
      <c r="R26" s="194" t="s">
        <v>41</v>
      </c>
      <c r="S26" s="192" t="s">
        <v>29</v>
      </c>
      <c r="T26" s="244" t="s">
        <v>36</v>
      </c>
      <c r="U26" s="239" t="s">
        <v>29</v>
      </c>
      <c r="V26" s="191" t="s">
        <v>12</v>
      </c>
      <c r="W26" s="191" t="s">
        <v>14</v>
      </c>
      <c r="X26" s="191" t="s">
        <v>26</v>
      </c>
      <c r="Y26" s="191" t="s">
        <v>32</v>
      </c>
      <c r="Z26" s="191" t="s">
        <v>33</v>
      </c>
      <c r="AA26" s="243" t="s">
        <v>35</v>
      </c>
      <c r="AB26" s="191" t="s">
        <v>138</v>
      </c>
      <c r="AC26" s="191" t="s">
        <v>12</v>
      </c>
      <c r="AD26" s="239" t="s">
        <v>29</v>
      </c>
      <c r="AE26" s="191" t="s">
        <v>97</v>
      </c>
      <c r="AF26" s="237" t="s">
        <v>30</v>
      </c>
      <c r="AG26" s="191" t="s">
        <v>14</v>
      </c>
      <c r="AH26" s="191" t="s">
        <v>150</v>
      </c>
      <c r="AI26" s="191" t="s">
        <v>32</v>
      </c>
      <c r="AJ26" s="191" t="s">
        <v>33</v>
      </c>
      <c r="AL26" s="191" t="s">
        <v>32</v>
      </c>
      <c r="AM26" s="191" t="s">
        <v>151</v>
      </c>
      <c r="AN26" s="191" t="s">
        <v>14</v>
      </c>
      <c r="AO26" s="235" t="s">
        <v>43</v>
      </c>
      <c r="AP26" s="191" t="s">
        <v>38</v>
      </c>
      <c r="AQ26" s="191" t="s">
        <v>12</v>
      </c>
      <c r="AR26" s="206" t="s">
        <v>39</v>
      </c>
      <c r="AS26" s="237" t="s">
        <v>30</v>
      </c>
      <c r="AT26" s="230"/>
    </row>
    <row r="27" ht="63" spans="1:46">
      <c r="A27" s="29" t="s">
        <v>152</v>
      </c>
      <c r="B27" s="191" t="s">
        <v>32</v>
      </c>
      <c r="C27" s="242" t="s">
        <v>29</v>
      </c>
      <c r="D27" s="231" t="s">
        <v>12</v>
      </c>
      <c r="E27" s="191" t="s">
        <v>97</v>
      </c>
      <c r="F27" s="206" t="s">
        <v>39</v>
      </c>
      <c r="G27" s="191" t="s">
        <v>14</v>
      </c>
      <c r="H27" s="237" t="s">
        <v>30</v>
      </c>
      <c r="I27" s="194" t="s">
        <v>98</v>
      </c>
      <c r="J27" s="191" t="s">
        <v>138</v>
      </c>
      <c r="K27" s="191" t="s">
        <v>33</v>
      </c>
      <c r="L27" s="239" t="s">
        <v>29</v>
      </c>
      <c r="M27" s="243" t="s">
        <v>35</v>
      </c>
      <c r="N27" s="191" t="s">
        <v>14</v>
      </c>
      <c r="O27" s="191" t="s">
        <v>32</v>
      </c>
      <c r="P27" s="191" t="s">
        <v>12</v>
      </c>
      <c r="Q27" s="191" t="s">
        <v>12</v>
      </c>
      <c r="R27" s="194" t="s">
        <v>41</v>
      </c>
      <c r="S27" s="192" t="s">
        <v>33</v>
      </c>
      <c r="T27" s="191" t="s">
        <v>14</v>
      </c>
      <c r="U27" s="191" t="s">
        <v>26</v>
      </c>
      <c r="V27" s="191" t="s">
        <v>38</v>
      </c>
      <c r="W27" s="191" t="s">
        <v>97</v>
      </c>
      <c r="X27" s="191" t="s">
        <v>12</v>
      </c>
      <c r="Y27" s="237" t="s">
        <v>30</v>
      </c>
      <c r="Z27" s="191" t="s">
        <v>32</v>
      </c>
      <c r="AA27" s="244" t="s">
        <v>36</v>
      </c>
      <c r="AB27" s="192" t="s">
        <v>29</v>
      </c>
      <c r="AC27" s="191" t="s">
        <v>32</v>
      </c>
      <c r="AD27" s="191" t="s">
        <v>150</v>
      </c>
      <c r="AE27" s="191" t="s">
        <v>12</v>
      </c>
      <c r="AF27" s="191" t="s">
        <v>14</v>
      </c>
      <c r="AG27" s="191" t="s">
        <v>97</v>
      </c>
      <c r="AH27" s="191" t="s">
        <v>33</v>
      </c>
      <c r="AI27" s="244" t="s">
        <v>36</v>
      </c>
      <c r="AJ27" s="243" t="s">
        <v>35</v>
      </c>
      <c r="AK27" s="192"/>
      <c r="AL27" s="191" t="s">
        <v>14</v>
      </c>
      <c r="AM27" s="237" t="s">
        <v>30</v>
      </c>
      <c r="AN27" s="239" t="s">
        <v>29</v>
      </c>
      <c r="AO27" s="239" t="s">
        <v>32</v>
      </c>
      <c r="AP27" s="235" t="s">
        <v>43</v>
      </c>
      <c r="AQ27" s="191" t="s">
        <v>33</v>
      </c>
      <c r="AR27" s="191" t="s">
        <v>12</v>
      </c>
      <c r="AS27" s="191" t="s">
        <v>151</v>
      </c>
      <c r="AT27" s="230"/>
    </row>
    <row r="28" ht="63" spans="1:46">
      <c r="A28" s="29" t="s">
        <v>153</v>
      </c>
      <c r="B28" s="191" t="s">
        <v>14</v>
      </c>
      <c r="C28" s="245" t="s">
        <v>39</v>
      </c>
      <c r="D28" s="191" t="s">
        <v>32</v>
      </c>
      <c r="E28" s="191" t="s">
        <v>12</v>
      </c>
      <c r="F28" s="246" t="s">
        <v>35</v>
      </c>
      <c r="G28" s="191" t="s">
        <v>33</v>
      </c>
      <c r="H28" s="191" t="s">
        <v>97</v>
      </c>
      <c r="I28" s="194" t="s">
        <v>98</v>
      </c>
      <c r="J28" s="192" t="s">
        <v>29</v>
      </c>
      <c r="K28" s="239" t="s">
        <v>12</v>
      </c>
      <c r="L28" s="191" t="s">
        <v>14</v>
      </c>
      <c r="M28" s="239" t="s">
        <v>29</v>
      </c>
      <c r="N28" s="239" t="s">
        <v>154</v>
      </c>
      <c r="O28" s="239" t="s">
        <v>32</v>
      </c>
      <c r="P28" s="205" t="s">
        <v>30</v>
      </c>
      <c r="Q28" s="193" t="s">
        <v>43</v>
      </c>
      <c r="R28" s="194" t="s">
        <v>41</v>
      </c>
      <c r="S28" s="191" t="s">
        <v>138</v>
      </c>
      <c r="T28" s="191" t="s">
        <v>14</v>
      </c>
      <c r="U28" s="191" t="s">
        <v>97</v>
      </c>
      <c r="V28" s="205" t="s">
        <v>30</v>
      </c>
      <c r="W28" s="244" t="s">
        <v>36</v>
      </c>
      <c r="X28" s="239" t="s">
        <v>29</v>
      </c>
      <c r="Y28" s="239" t="s">
        <v>32</v>
      </c>
      <c r="Z28" s="191" t="s">
        <v>12</v>
      </c>
      <c r="AA28" s="191" t="s">
        <v>12</v>
      </c>
      <c r="AB28" s="192" t="s">
        <v>33</v>
      </c>
      <c r="AC28" s="191" t="s">
        <v>151</v>
      </c>
      <c r="AD28" s="191" t="s">
        <v>33</v>
      </c>
      <c r="AE28" s="239" t="s">
        <v>32</v>
      </c>
      <c r="AF28" s="191" t="s">
        <v>12</v>
      </c>
      <c r="AG28" s="191" t="s">
        <v>38</v>
      </c>
      <c r="AH28" s="247" t="s">
        <v>30</v>
      </c>
      <c r="AI28" s="191" t="s">
        <v>14</v>
      </c>
      <c r="AJ28" s="191" t="s">
        <v>26</v>
      </c>
      <c r="AL28" s="239" t="s">
        <v>29</v>
      </c>
      <c r="AM28" s="239" t="s">
        <v>32</v>
      </c>
      <c r="AN28" s="191" t="s">
        <v>14</v>
      </c>
      <c r="AO28" s="191" t="s">
        <v>33</v>
      </c>
      <c r="AP28" s="191" t="s">
        <v>97</v>
      </c>
      <c r="AQ28" s="191" t="s">
        <v>12</v>
      </c>
      <c r="AR28" s="246" t="s">
        <v>35</v>
      </c>
      <c r="AS28" s="244" t="s">
        <v>36</v>
      </c>
      <c r="AT28" s="230"/>
    </row>
    <row r="29" ht="63" spans="1:46">
      <c r="A29" s="29" t="s">
        <v>155</v>
      </c>
      <c r="B29" s="192" t="s">
        <v>33</v>
      </c>
      <c r="C29" s="191" t="s">
        <v>14</v>
      </c>
      <c r="D29" s="244" t="s">
        <v>36</v>
      </c>
      <c r="E29" s="239" t="s">
        <v>97</v>
      </c>
      <c r="F29" s="191" t="s">
        <v>12</v>
      </c>
      <c r="G29" s="212" t="s">
        <v>30</v>
      </c>
      <c r="H29" s="239" t="s">
        <v>32</v>
      </c>
      <c r="I29" s="194" t="s">
        <v>98</v>
      </c>
      <c r="J29" s="191" t="s">
        <v>29</v>
      </c>
      <c r="K29" s="239" t="s">
        <v>32</v>
      </c>
      <c r="L29" s="239" t="s">
        <v>154</v>
      </c>
      <c r="M29" s="191" t="s">
        <v>12</v>
      </c>
      <c r="N29" s="248" t="s">
        <v>36</v>
      </c>
      <c r="O29" s="191" t="s">
        <v>14</v>
      </c>
      <c r="P29" s="212" t="s">
        <v>30</v>
      </c>
      <c r="Q29" s="192" t="s">
        <v>29</v>
      </c>
      <c r="R29" s="194" t="s">
        <v>41</v>
      </c>
      <c r="S29" s="191" t="s">
        <v>33</v>
      </c>
      <c r="T29" s="239" t="s">
        <v>97</v>
      </c>
      <c r="U29" s="191" t="s">
        <v>12</v>
      </c>
      <c r="V29" s="191" t="s">
        <v>12</v>
      </c>
      <c r="W29" s="191" t="s">
        <v>14</v>
      </c>
      <c r="X29" s="239" t="s">
        <v>29</v>
      </c>
      <c r="Y29" s="246" t="s">
        <v>35</v>
      </c>
      <c r="Z29" s="191" t="s">
        <v>33</v>
      </c>
      <c r="AA29" s="239" t="s">
        <v>32</v>
      </c>
      <c r="AB29" s="191" t="s">
        <v>138</v>
      </c>
      <c r="AC29" s="191" t="s">
        <v>32</v>
      </c>
      <c r="AD29" s="191" t="s">
        <v>12</v>
      </c>
      <c r="AE29" s="246" t="s">
        <v>35</v>
      </c>
      <c r="AF29" s="191" t="s">
        <v>26</v>
      </c>
      <c r="AG29" s="239" t="s">
        <v>14</v>
      </c>
      <c r="AH29" s="191" t="s">
        <v>33</v>
      </c>
      <c r="AI29" s="212" t="s">
        <v>30</v>
      </c>
      <c r="AJ29" s="191" t="s">
        <v>156</v>
      </c>
      <c r="AL29" s="239" t="s">
        <v>29</v>
      </c>
      <c r="AM29" s="191" t="s">
        <v>38</v>
      </c>
      <c r="AN29" s="239" t="s">
        <v>97</v>
      </c>
      <c r="AO29" s="191" t="s">
        <v>14</v>
      </c>
      <c r="AP29" s="239" t="s">
        <v>32</v>
      </c>
      <c r="AQ29" s="206" t="s">
        <v>39</v>
      </c>
      <c r="AR29" s="193" t="s">
        <v>43</v>
      </c>
      <c r="AS29" s="191" t="s">
        <v>12</v>
      </c>
      <c r="AT29" s="230"/>
    </row>
    <row r="30" ht="63" spans="1:46">
      <c r="A30" s="29" t="s">
        <v>157</v>
      </c>
      <c r="B30" s="242" t="s">
        <v>158</v>
      </c>
      <c r="C30" s="191" t="s">
        <v>32</v>
      </c>
      <c r="D30" s="191" t="s">
        <v>12</v>
      </c>
      <c r="E30" s="239" t="s">
        <v>14</v>
      </c>
      <c r="F30" s="191" t="s">
        <v>97</v>
      </c>
      <c r="G30" s="191" t="s">
        <v>33</v>
      </c>
      <c r="H30" s="191" t="s">
        <v>29</v>
      </c>
      <c r="I30" s="194" t="s">
        <v>98</v>
      </c>
      <c r="J30" s="191" t="s">
        <v>138</v>
      </c>
      <c r="K30" s="191" t="s">
        <v>12</v>
      </c>
      <c r="L30" s="191" t="s">
        <v>33</v>
      </c>
      <c r="M30" s="244" t="s">
        <v>36</v>
      </c>
      <c r="N30" s="239" t="s">
        <v>32</v>
      </c>
      <c r="O30" s="246" t="s">
        <v>35</v>
      </c>
      <c r="P30" s="191" t="s">
        <v>26</v>
      </c>
      <c r="Q30" s="191" t="s">
        <v>14</v>
      </c>
      <c r="R30" s="194" t="s">
        <v>41</v>
      </c>
      <c r="S30" s="239" t="s">
        <v>29</v>
      </c>
      <c r="T30" s="191" t="s">
        <v>14</v>
      </c>
      <c r="U30" s="191" t="s">
        <v>29</v>
      </c>
      <c r="V30" s="235" t="s">
        <v>43</v>
      </c>
      <c r="W30" s="191" t="s">
        <v>97</v>
      </c>
      <c r="X30" s="210" t="s">
        <v>30</v>
      </c>
      <c r="Y30" s="239" t="s">
        <v>32</v>
      </c>
      <c r="Z30" s="191" t="s">
        <v>12</v>
      </c>
      <c r="AA30" s="191" t="s">
        <v>12</v>
      </c>
      <c r="AB30" s="192" t="s">
        <v>33</v>
      </c>
      <c r="AC30" s="239" t="s">
        <v>29</v>
      </c>
      <c r="AD30" s="239" t="s">
        <v>38</v>
      </c>
      <c r="AE30" s="191" t="s">
        <v>156</v>
      </c>
      <c r="AF30" s="191" t="s">
        <v>12</v>
      </c>
      <c r="AG30" s="191" t="s">
        <v>14</v>
      </c>
      <c r="AH30" s="244" t="s">
        <v>36</v>
      </c>
      <c r="AI30" s="239" t="s">
        <v>32</v>
      </c>
      <c r="AJ30" s="249" t="s">
        <v>30</v>
      </c>
      <c r="AL30" s="239" t="s">
        <v>33</v>
      </c>
      <c r="AM30" s="250" t="s">
        <v>39</v>
      </c>
      <c r="AN30" s="191" t="s">
        <v>32</v>
      </c>
      <c r="AO30" s="191" t="s">
        <v>14</v>
      </c>
      <c r="AP30" s="210" t="s">
        <v>30</v>
      </c>
      <c r="AQ30" s="191" t="s">
        <v>12</v>
      </c>
      <c r="AR30" s="191" t="s">
        <v>97</v>
      </c>
      <c r="AS30" s="246" t="s">
        <v>35</v>
      </c>
      <c r="AT30" s="230"/>
    </row>
    <row r="31" ht="63" spans="1:46">
      <c r="A31" s="29" t="s">
        <v>159</v>
      </c>
      <c r="B31" s="191" t="s">
        <v>97</v>
      </c>
      <c r="C31" s="191" t="s">
        <v>12</v>
      </c>
      <c r="D31" s="191" t="s">
        <v>29</v>
      </c>
      <c r="E31" s="246" t="s">
        <v>35</v>
      </c>
      <c r="F31" s="191" t="s">
        <v>14</v>
      </c>
      <c r="G31" s="242" t="s">
        <v>158</v>
      </c>
      <c r="H31" s="239" t="s">
        <v>32</v>
      </c>
      <c r="I31" s="194" t="s">
        <v>98</v>
      </c>
      <c r="J31" s="192" t="s">
        <v>33</v>
      </c>
      <c r="K31" s="244" t="s">
        <v>36</v>
      </c>
      <c r="L31" s="191" t="s">
        <v>14</v>
      </c>
      <c r="M31" s="191" t="s">
        <v>26</v>
      </c>
      <c r="N31" s="191" t="s">
        <v>12</v>
      </c>
      <c r="O31" s="191" t="s">
        <v>32</v>
      </c>
      <c r="P31" s="193" t="s">
        <v>43</v>
      </c>
      <c r="Q31" s="251" t="s">
        <v>30</v>
      </c>
      <c r="R31" s="194" t="s">
        <v>41</v>
      </c>
      <c r="S31" s="191" t="s">
        <v>138</v>
      </c>
      <c r="T31" s="250" t="s">
        <v>39</v>
      </c>
      <c r="U31" s="191" t="s">
        <v>12</v>
      </c>
      <c r="V31" s="191" t="s">
        <v>12</v>
      </c>
      <c r="W31" s="191" t="s">
        <v>14</v>
      </c>
      <c r="X31" s="191" t="s">
        <v>97</v>
      </c>
      <c r="Y31" s="191" t="s">
        <v>33</v>
      </c>
      <c r="Z31" s="246" t="s">
        <v>35</v>
      </c>
      <c r="AA31" s="239" t="s">
        <v>32</v>
      </c>
      <c r="AB31" s="192" t="s">
        <v>29</v>
      </c>
      <c r="AC31" s="191" t="s">
        <v>12</v>
      </c>
      <c r="AD31" s="191" t="s">
        <v>14</v>
      </c>
      <c r="AE31" s="239" t="s">
        <v>38</v>
      </c>
      <c r="AF31" s="191" t="s">
        <v>29</v>
      </c>
      <c r="AG31" s="191" t="s">
        <v>33</v>
      </c>
      <c r="AH31" s="191" t="s">
        <v>97</v>
      </c>
      <c r="AI31" s="252" t="s">
        <v>30</v>
      </c>
      <c r="AJ31" s="239" t="s">
        <v>32</v>
      </c>
      <c r="AL31" s="191" t="s">
        <v>32</v>
      </c>
      <c r="AM31" s="239" t="s">
        <v>29</v>
      </c>
      <c r="AN31" s="251" t="s">
        <v>30</v>
      </c>
      <c r="AO31" s="191" t="s">
        <v>33</v>
      </c>
      <c r="AP31" s="191" t="s">
        <v>14</v>
      </c>
      <c r="AQ31" s="244" t="s">
        <v>36</v>
      </c>
      <c r="AR31" s="191" t="s">
        <v>12</v>
      </c>
      <c r="AS31" s="191" t="s">
        <v>156</v>
      </c>
      <c r="AT31" s="230"/>
    </row>
    <row r="32" ht="63" spans="1:46">
      <c r="A32" s="29" t="s">
        <v>160</v>
      </c>
      <c r="B32" s="191" t="s">
        <v>36</v>
      </c>
      <c r="C32" s="191" t="s">
        <v>14</v>
      </c>
      <c r="D32" s="191" t="s">
        <v>32</v>
      </c>
      <c r="E32" s="252" t="s">
        <v>30</v>
      </c>
      <c r="F32" s="191" t="s">
        <v>33</v>
      </c>
      <c r="G32" s="239" t="s">
        <v>12</v>
      </c>
      <c r="H32" s="191" t="s">
        <v>97</v>
      </c>
      <c r="I32" s="194" t="s">
        <v>98</v>
      </c>
      <c r="J32" s="253" t="s">
        <v>29</v>
      </c>
      <c r="K32" s="239" t="s">
        <v>97</v>
      </c>
      <c r="L32" s="239" t="s">
        <v>14</v>
      </c>
      <c r="M32" s="191" t="s">
        <v>32</v>
      </c>
      <c r="N32" s="191" t="s">
        <v>12</v>
      </c>
      <c r="O32" s="191" t="s">
        <v>36</v>
      </c>
      <c r="P32" s="250" t="s">
        <v>39</v>
      </c>
      <c r="Q32" s="254" t="s">
        <v>29</v>
      </c>
      <c r="R32" s="194" t="s">
        <v>41</v>
      </c>
      <c r="S32" s="192" t="s">
        <v>33</v>
      </c>
      <c r="T32" s="239" t="s">
        <v>161</v>
      </c>
      <c r="U32" s="191" t="s">
        <v>14</v>
      </c>
      <c r="V32" s="254" t="s">
        <v>29</v>
      </c>
      <c r="W32" s="191" t="s">
        <v>12</v>
      </c>
      <c r="X32" s="252" t="s">
        <v>30</v>
      </c>
      <c r="Y32" s="239" t="s">
        <v>32</v>
      </c>
      <c r="Z32" s="239" t="s">
        <v>33</v>
      </c>
      <c r="AA32" s="209" t="s">
        <v>35</v>
      </c>
      <c r="AB32" s="191" t="s">
        <v>138</v>
      </c>
      <c r="AC32" s="191" t="s">
        <v>32</v>
      </c>
      <c r="AD32" s="191" t="s">
        <v>162</v>
      </c>
      <c r="AE32" s="239" t="s">
        <v>14</v>
      </c>
      <c r="AF32" s="209" t="s">
        <v>35</v>
      </c>
      <c r="AG32" s="255" t="s">
        <v>38</v>
      </c>
      <c r="AH32" s="191" t="s">
        <v>97</v>
      </c>
      <c r="AI32" s="239" t="s">
        <v>12</v>
      </c>
      <c r="AJ32" s="191" t="s">
        <v>12</v>
      </c>
      <c r="AK32" s="256"/>
      <c r="AL32" s="191" t="s">
        <v>33</v>
      </c>
      <c r="AM32" s="191" t="s">
        <v>32</v>
      </c>
      <c r="AN32" s="257" t="s">
        <v>29</v>
      </c>
      <c r="AO32" s="191" t="s">
        <v>14</v>
      </c>
      <c r="AP32" s="191" t="s">
        <v>26</v>
      </c>
      <c r="AQ32" s="251" t="s">
        <v>30</v>
      </c>
      <c r="AR32" s="191" t="s">
        <v>12</v>
      </c>
      <c r="AS32" s="199" t="s">
        <v>43</v>
      </c>
      <c r="AT32" s="230"/>
    </row>
    <row r="33" ht="63" spans="1:46">
      <c r="A33" s="29" t="s">
        <v>163</v>
      </c>
      <c r="B33" s="258" t="s">
        <v>39</v>
      </c>
      <c r="C33" s="191" t="s">
        <v>12</v>
      </c>
      <c r="D33" s="191" t="s">
        <v>14</v>
      </c>
      <c r="E33" s="205" t="s">
        <v>97</v>
      </c>
      <c r="F33" s="191" t="s">
        <v>32</v>
      </c>
      <c r="G33" s="254" t="s">
        <v>29</v>
      </c>
      <c r="H33" s="209" t="s">
        <v>35</v>
      </c>
      <c r="I33" s="194" t="s">
        <v>98</v>
      </c>
      <c r="J33" s="191" t="s">
        <v>33</v>
      </c>
      <c r="K33" s="191" t="s">
        <v>12</v>
      </c>
      <c r="L33" s="205" t="s">
        <v>97</v>
      </c>
      <c r="M33" s="191" t="s">
        <v>33</v>
      </c>
      <c r="N33" s="191" t="s">
        <v>32</v>
      </c>
      <c r="O33" s="239" t="s">
        <v>14</v>
      </c>
      <c r="P33" s="254" t="s">
        <v>29</v>
      </c>
      <c r="Q33" s="199" t="s">
        <v>43</v>
      </c>
      <c r="R33" s="194" t="s">
        <v>41</v>
      </c>
      <c r="S33" s="191" t="s">
        <v>138</v>
      </c>
      <c r="T33" s="205" t="s">
        <v>97</v>
      </c>
      <c r="U33" s="252" t="s">
        <v>30</v>
      </c>
      <c r="V33" s="191" t="s">
        <v>14</v>
      </c>
      <c r="W33" s="239" t="s">
        <v>36</v>
      </c>
      <c r="X33" s="191" t="s">
        <v>12</v>
      </c>
      <c r="Y33" s="209" t="s">
        <v>35</v>
      </c>
      <c r="Z33" s="239" t="s">
        <v>32</v>
      </c>
      <c r="AA33" s="192" t="s">
        <v>33</v>
      </c>
      <c r="AB33" s="253" t="s">
        <v>29</v>
      </c>
      <c r="AC33" s="239" t="s">
        <v>33</v>
      </c>
      <c r="AD33" s="191" t="s">
        <v>12</v>
      </c>
      <c r="AE33" s="191" t="s">
        <v>12</v>
      </c>
      <c r="AF33" s="191" t="s">
        <v>36</v>
      </c>
      <c r="AG33" s="191" t="s">
        <v>14</v>
      </c>
      <c r="AH33" s="239" t="s">
        <v>32</v>
      </c>
      <c r="AI33" s="191" t="s">
        <v>162</v>
      </c>
      <c r="AJ33" s="251" t="s">
        <v>30</v>
      </c>
      <c r="AL33" s="191" t="s">
        <v>32</v>
      </c>
      <c r="AM33" s="259" t="s">
        <v>30</v>
      </c>
      <c r="AN33" s="205" t="s">
        <v>164</v>
      </c>
      <c r="AO33" s="260" t="s">
        <v>38</v>
      </c>
      <c r="AP33" s="257" t="s">
        <v>29</v>
      </c>
      <c r="AQ33" s="191" t="s">
        <v>12</v>
      </c>
      <c r="AR33" s="191" t="s">
        <v>26</v>
      </c>
      <c r="AS33" s="239" t="s">
        <v>14</v>
      </c>
      <c r="AT33" s="230"/>
    </row>
    <row r="34" ht="63" spans="1:46">
      <c r="A34" s="29" t="s">
        <v>165</v>
      </c>
      <c r="B34" s="191" t="s">
        <v>32</v>
      </c>
      <c r="C34" s="205" t="s">
        <v>97</v>
      </c>
      <c r="D34" s="250" t="s">
        <v>39</v>
      </c>
      <c r="E34" s="191" t="s">
        <v>14</v>
      </c>
      <c r="F34" s="261" t="s">
        <v>43</v>
      </c>
      <c r="G34" s="262" t="s">
        <v>30</v>
      </c>
      <c r="H34" s="191" t="s">
        <v>12</v>
      </c>
      <c r="I34" s="194" t="s">
        <v>98</v>
      </c>
      <c r="J34" s="191" t="s">
        <v>33</v>
      </c>
      <c r="K34" s="191" t="s">
        <v>12</v>
      </c>
      <c r="L34" s="191" t="s">
        <v>36</v>
      </c>
      <c r="M34" s="191" t="s">
        <v>33</v>
      </c>
      <c r="N34" s="191" t="s">
        <v>166</v>
      </c>
      <c r="O34" s="191" t="s">
        <v>32</v>
      </c>
      <c r="P34" s="191" t="s">
        <v>14</v>
      </c>
      <c r="Q34" s="263" t="s">
        <v>164</v>
      </c>
      <c r="R34" s="194" t="s">
        <v>41</v>
      </c>
      <c r="S34" s="254" t="s">
        <v>29</v>
      </c>
      <c r="T34" s="191" t="s">
        <v>14</v>
      </c>
      <c r="U34" s="191" t="s">
        <v>26</v>
      </c>
      <c r="V34" s="260" t="s">
        <v>38</v>
      </c>
      <c r="W34" s="254" t="s">
        <v>29</v>
      </c>
      <c r="X34" s="205" t="s">
        <v>97</v>
      </c>
      <c r="Y34" s="191" t="s">
        <v>12</v>
      </c>
      <c r="Z34" s="191" t="s">
        <v>32</v>
      </c>
      <c r="AA34" s="191" t="s">
        <v>33</v>
      </c>
      <c r="AB34" s="191" t="s">
        <v>138</v>
      </c>
      <c r="AC34" s="191" t="s">
        <v>36</v>
      </c>
      <c r="AD34" s="262" t="s">
        <v>30</v>
      </c>
      <c r="AE34" s="264" t="s">
        <v>35</v>
      </c>
      <c r="AF34" s="191" t="s">
        <v>14</v>
      </c>
      <c r="AG34" s="254" t="s">
        <v>29</v>
      </c>
      <c r="AH34" s="191" t="s">
        <v>32</v>
      </c>
      <c r="AI34" s="191" t="s">
        <v>12</v>
      </c>
      <c r="AJ34" s="191" t="s">
        <v>12</v>
      </c>
      <c r="AL34" s="191" t="s">
        <v>14</v>
      </c>
      <c r="AM34" s="254" t="s">
        <v>29</v>
      </c>
      <c r="AN34" s="191" t="s">
        <v>32</v>
      </c>
      <c r="AO34" s="205" t="s">
        <v>97</v>
      </c>
      <c r="AP34" s="209" t="s">
        <v>35</v>
      </c>
      <c r="AQ34" s="191" t="s">
        <v>12</v>
      </c>
      <c r="AR34" s="262" t="s">
        <v>30</v>
      </c>
      <c r="AS34" s="191" t="s">
        <v>33</v>
      </c>
      <c r="AT34" s="230"/>
    </row>
    <row r="35" ht="63" spans="1:46">
      <c r="A35" s="29" t="s">
        <v>167</v>
      </c>
      <c r="B35" s="191" t="s">
        <v>14</v>
      </c>
      <c r="C35" s="265" t="s">
        <v>30</v>
      </c>
      <c r="D35" s="191" t="s">
        <v>12</v>
      </c>
      <c r="E35" s="191" t="s">
        <v>32</v>
      </c>
      <c r="F35" s="231" t="s">
        <v>97</v>
      </c>
      <c r="G35" s="191" t="s">
        <v>33</v>
      </c>
      <c r="H35" s="191" t="s">
        <v>36</v>
      </c>
      <c r="I35" s="194" t="s">
        <v>98</v>
      </c>
      <c r="J35" s="191" t="s">
        <v>29</v>
      </c>
      <c r="K35" s="191" t="s">
        <v>32</v>
      </c>
      <c r="L35" s="191" t="s">
        <v>166</v>
      </c>
      <c r="M35" s="191" t="s">
        <v>168</v>
      </c>
      <c r="N35" s="191" t="s">
        <v>12</v>
      </c>
      <c r="O35" s="191" t="s">
        <v>33</v>
      </c>
      <c r="P35" s="191" t="s">
        <v>29</v>
      </c>
      <c r="Q35" s="191" t="s">
        <v>14</v>
      </c>
      <c r="R35" s="194" t="s">
        <v>41</v>
      </c>
      <c r="S35" s="191" t="s">
        <v>138</v>
      </c>
      <c r="T35" s="191" t="s">
        <v>29</v>
      </c>
      <c r="U35" s="199" t="s">
        <v>43</v>
      </c>
      <c r="V35" s="191" t="s">
        <v>36</v>
      </c>
      <c r="W35" s="191" t="s">
        <v>26</v>
      </c>
      <c r="X35" s="191" t="s">
        <v>14</v>
      </c>
      <c r="Y35" s="191" t="s">
        <v>32</v>
      </c>
      <c r="Z35" s="191" t="s">
        <v>12</v>
      </c>
      <c r="AA35" s="262" t="s">
        <v>30</v>
      </c>
      <c r="AB35" s="191" t="s">
        <v>33</v>
      </c>
      <c r="AC35" s="209" t="s">
        <v>35</v>
      </c>
      <c r="AD35" s="191" t="s">
        <v>97</v>
      </c>
      <c r="AE35" s="191" t="s">
        <v>14</v>
      </c>
      <c r="AF35" s="191" t="s">
        <v>12</v>
      </c>
      <c r="AG35" s="191" t="s">
        <v>12</v>
      </c>
      <c r="AH35" s="262" t="s">
        <v>30</v>
      </c>
      <c r="AI35" s="191" t="s">
        <v>32</v>
      </c>
      <c r="AJ35" s="191" t="s">
        <v>33</v>
      </c>
      <c r="AK35" s="191"/>
      <c r="AL35" s="191" t="s">
        <v>32</v>
      </c>
      <c r="AM35" s="191" t="s">
        <v>14</v>
      </c>
      <c r="AN35" s="260" t="s">
        <v>38</v>
      </c>
      <c r="AO35" s="209" t="s">
        <v>35</v>
      </c>
      <c r="AP35" s="250" t="s">
        <v>39</v>
      </c>
      <c r="AQ35" s="191" t="s">
        <v>12</v>
      </c>
      <c r="AR35" s="192" t="s">
        <v>97</v>
      </c>
      <c r="AS35" s="191" t="s">
        <v>29</v>
      </c>
      <c r="AT35" s="230"/>
    </row>
    <row r="36" ht="63" spans="1:46">
      <c r="A36" s="29" t="s">
        <v>169</v>
      </c>
      <c r="B36" s="231" t="s">
        <v>97</v>
      </c>
      <c r="C36" s="209" t="s">
        <v>35</v>
      </c>
      <c r="D36" s="191" t="s">
        <v>14</v>
      </c>
      <c r="E36" s="206" t="s">
        <v>12</v>
      </c>
      <c r="F36" s="231" t="s">
        <v>32</v>
      </c>
      <c r="G36" s="191" t="s">
        <v>29</v>
      </c>
      <c r="H36" s="191" t="s">
        <v>33</v>
      </c>
      <c r="I36" s="194" t="s">
        <v>98</v>
      </c>
      <c r="J36" s="206" t="s">
        <v>138</v>
      </c>
      <c r="K36" s="191" t="s">
        <v>32</v>
      </c>
      <c r="L36" s="191" t="s">
        <v>170</v>
      </c>
      <c r="M36" s="191" t="s">
        <v>29</v>
      </c>
      <c r="N36" s="206" t="s">
        <v>12</v>
      </c>
      <c r="O36" s="206" t="s">
        <v>12</v>
      </c>
      <c r="P36" s="191" t="s">
        <v>14</v>
      </c>
      <c r="Q36" s="262" t="s">
        <v>30</v>
      </c>
      <c r="R36" s="194" t="s">
        <v>41</v>
      </c>
      <c r="S36" s="191" t="s">
        <v>33</v>
      </c>
      <c r="T36" s="191" t="s">
        <v>36</v>
      </c>
      <c r="U36" s="266" t="s">
        <v>12</v>
      </c>
      <c r="V36" s="191" t="s">
        <v>97</v>
      </c>
      <c r="W36" s="191" t="s">
        <v>14</v>
      </c>
      <c r="X36" s="267" t="s">
        <v>38</v>
      </c>
      <c r="Y36" s="191" t="s">
        <v>33</v>
      </c>
      <c r="Z36" s="209" t="s">
        <v>35</v>
      </c>
      <c r="AA36" s="191" t="s">
        <v>32</v>
      </c>
      <c r="AB36" s="191" t="s">
        <v>29</v>
      </c>
      <c r="AC36" s="206" t="s">
        <v>12</v>
      </c>
      <c r="AD36" s="199" t="s">
        <v>43</v>
      </c>
      <c r="AE36" s="262" t="s">
        <v>30</v>
      </c>
      <c r="AF36" s="191" t="s">
        <v>32</v>
      </c>
      <c r="AG36" s="191" t="s">
        <v>168</v>
      </c>
      <c r="AH36" s="191" t="s">
        <v>33</v>
      </c>
      <c r="AI36" s="191" t="s">
        <v>14</v>
      </c>
      <c r="AJ36" s="191" t="s">
        <v>26</v>
      </c>
      <c r="AK36" s="191"/>
      <c r="AL36" s="191" t="s">
        <v>14</v>
      </c>
      <c r="AM36" s="191" t="s">
        <v>32</v>
      </c>
      <c r="AN36" s="191" t="s">
        <v>97</v>
      </c>
      <c r="AO36" s="262" t="s">
        <v>30</v>
      </c>
      <c r="AP36" s="191" t="s">
        <v>29</v>
      </c>
      <c r="AQ36" s="206" t="s">
        <v>12</v>
      </c>
      <c r="AR36" s="191" t="s">
        <v>36</v>
      </c>
      <c r="AS36" s="250" t="s">
        <v>39</v>
      </c>
      <c r="AT36" s="230"/>
    </row>
    <row r="37" ht="63.75" spans="1:46">
      <c r="A37" s="268" t="s">
        <v>171</v>
      </c>
      <c r="B37" s="269" t="s">
        <v>14</v>
      </c>
      <c r="C37" s="270" t="s">
        <v>12</v>
      </c>
      <c r="D37" s="269" t="s">
        <v>168</v>
      </c>
      <c r="E37" s="269" t="s">
        <v>32</v>
      </c>
      <c r="F37" s="271" t="s">
        <v>30</v>
      </c>
      <c r="G37" s="272" t="s">
        <v>38</v>
      </c>
      <c r="H37" s="273" t="s">
        <v>43</v>
      </c>
      <c r="I37" s="274" t="s">
        <v>98</v>
      </c>
      <c r="J37" s="269" t="s">
        <v>33</v>
      </c>
      <c r="K37" s="275" t="s">
        <v>12</v>
      </c>
      <c r="L37" s="275" t="s">
        <v>12</v>
      </c>
      <c r="M37" s="269" t="s">
        <v>33</v>
      </c>
      <c r="N37" s="269" t="s">
        <v>32</v>
      </c>
      <c r="O37" s="269" t="s">
        <v>170</v>
      </c>
      <c r="P37" s="276" t="s">
        <v>35</v>
      </c>
      <c r="Q37" s="269" t="s">
        <v>14</v>
      </c>
      <c r="R37" s="274" t="s">
        <v>41</v>
      </c>
      <c r="S37" s="269" t="s">
        <v>29</v>
      </c>
      <c r="T37" s="269" t="s">
        <v>14</v>
      </c>
      <c r="U37" s="271" t="s">
        <v>30</v>
      </c>
      <c r="V37" s="269" t="s">
        <v>29</v>
      </c>
      <c r="W37" s="275" t="s">
        <v>12</v>
      </c>
      <c r="X37" s="269" t="s">
        <v>97</v>
      </c>
      <c r="Y37" s="269" t="s">
        <v>32</v>
      </c>
      <c r="Z37" s="277" t="s">
        <v>39</v>
      </c>
      <c r="AA37" s="269" t="s">
        <v>33</v>
      </c>
      <c r="AB37" s="275" t="s">
        <v>138</v>
      </c>
      <c r="AC37" s="269" t="s">
        <v>32</v>
      </c>
      <c r="AD37" s="269" t="s">
        <v>36</v>
      </c>
      <c r="AE37" s="269" t="s">
        <v>97</v>
      </c>
      <c r="AF37" s="269" t="s">
        <v>26</v>
      </c>
      <c r="AG37" s="269" t="s">
        <v>14</v>
      </c>
      <c r="AH37" s="269" t="s">
        <v>29</v>
      </c>
      <c r="AI37" s="275" t="s">
        <v>12</v>
      </c>
      <c r="AJ37" s="269" t="s">
        <v>33</v>
      </c>
      <c r="AK37" s="269"/>
      <c r="AL37" s="269" t="s">
        <v>97</v>
      </c>
      <c r="AM37" s="276" t="s">
        <v>35</v>
      </c>
      <c r="AN37" s="269" t="s">
        <v>29</v>
      </c>
      <c r="AO37" s="269" t="s">
        <v>14</v>
      </c>
      <c r="AP37" s="269" t="s">
        <v>32</v>
      </c>
      <c r="AQ37" s="269" t="s">
        <v>36</v>
      </c>
      <c r="AR37" s="275" t="s">
        <v>12</v>
      </c>
      <c r="AS37" s="271" t="s">
        <v>30</v>
      </c>
      <c r="AT37" s="278"/>
    </row>
    <row r="38" ht="63" spans="1:46">
      <c r="A38" s="279" t="s">
        <v>28</v>
      </c>
      <c r="B38" s="183" t="s">
        <v>32</v>
      </c>
      <c r="C38" s="280" t="s">
        <v>29</v>
      </c>
      <c r="D38" s="183" t="s">
        <v>12</v>
      </c>
      <c r="E38" s="183" t="s">
        <v>14</v>
      </c>
      <c r="F38" s="281" t="s">
        <v>31</v>
      </c>
      <c r="G38" s="282" t="s">
        <v>36</v>
      </c>
      <c r="H38" s="183" t="s">
        <v>33</v>
      </c>
      <c r="I38" s="187" t="s">
        <v>34</v>
      </c>
      <c r="J38" s="184"/>
      <c r="K38" s="183" t="s">
        <v>35</v>
      </c>
      <c r="L38" s="183" t="s">
        <v>14</v>
      </c>
      <c r="M38" s="183" t="s">
        <v>12</v>
      </c>
      <c r="N38" s="183" t="s">
        <v>12</v>
      </c>
      <c r="O38" s="187" t="s">
        <v>40</v>
      </c>
      <c r="P38" s="183" t="s">
        <v>32</v>
      </c>
      <c r="Q38" s="283" t="s">
        <v>38</v>
      </c>
      <c r="R38" s="187" t="s">
        <v>37</v>
      </c>
      <c r="T38" s="183" t="s">
        <v>29</v>
      </c>
      <c r="U38" s="280" t="s">
        <v>33</v>
      </c>
      <c r="V38" s="183" t="s">
        <v>12</v>
      </c>
      <c r="W38" s="183" t="s">
        <v>14</v>
      </c>
      <c r="X38" s="183" t="s">
        <v>26</v>
      </c>
      <c r="Y38" s="183" t="s">
        <v>32</v>
      </c>
      <c r="Z38" s="183" t="s">
        <v>42</v>
      </c>
      <c r="AA38" s="284" t="s">
        <v>30</v>
      </c>
      <c r="AC38" s="280" t="s">
        <v>35</v>
      </c>
      <c r="AD38" s="285" t="s">
        <v>30</v>
      </c>
      <c r="AE38" s="183" t="s">
        <v>12</v>
      </c>
      <c r="AF38" s="183" t="s">
        <v>14</v>
      </c>
      <c r="AG38" s="286" t="s">
        <v>43</v>
      </c>
      <c r="AH38" s="282" t="s">
        <v>36</v>
      </c>
      <c r="AI38" s="183" t="s">
        <v>32</v>
      </c>
      <c r="AJ38" s="187" t="s">
        <v>41</v>
      </c>
      <c r="AL38" s="280" t="s">
        <v>42</v>
      </c>
      <c r="AM38" s="280" t="s">
        <v>32</v>
      </c>
      <c r="AN38" s="287" t="s">
        <v>39</v>
      </c>
      <c r="AO38" s="183" t="s">
        <v>14</v>
      </c>
      <c r="AP38" s="183" t="s">
        <v>29</v>
      </c>
      <c r="AQ38" s="280" t="s">
        <v>12</v>
      </c>
      <c r="AR38" s="285" t="s">
        <v>30</v>
      </c>
      <c r="AS38" s="280" t="s">
        <v>33</v>
      </c>
      <c r="AT38" s="288"/>
    </row>
    <row r="39" ht="63" spans="1:46">
      <c r="A39" s="289" t="s">
        <v>44</v>
      </c>
      <c r="B39" s="191" t="s">
        <v>14</v>
      </c>
      <c r="C39" s="191" t="s">
        <v>12</v>
      </c>
      <c r="D39" s="232" t="s">
        <v>30</v>
      </c>
      <c r="E39" s="191" t="s">
        <v>32</v>
      </c>
      <c r="F39" s="191" t="s">
        <v>45</v>
      </c>
      <c r="G39" s="191" t="s">
        <v>33</v>
      </c>
      <c r="H39" s="240" t="s">
        <v>43</v>
      </c>
      <c r="I39" s="194" t="s">
        <v>34</v>
      </c>
      <c r="K39" s="191" t="s">
        <v>32</v>
      </c>
      <c r="L39" s="264" t="s">
        <v>31</v>
      </c>
      <c r="M39" s="191" t="s">
        <v>35</v>
      </c>
      <c r="N39" s="191" t="s">
        <v>14</v>
      </c>
      <c r="O39" s="194" t="s">
        <v>40</v>
      </c>
      <c r="P39" s="191" t="s">
        <v>12</v>
      </c>
      <c r="Q39" s="191" t="s">
        <v>12</v>
      </c>
      <c r="R39" s="194" t="s">
        <v>37</v>
      </c>
      <c r="T39" s="191" t="s">
        <v>26</v>
      </c>
      <c r="U39" s="191" t="s">
        <v>14</v>
      </c>
      <c r="V39" s="231" t="s">
        <v>33</v>
      </c>
      <c r="W39" s="191" t="s">
        <v>29</v>
      </c>
      <c r="X39" s="191" t="s">
        <v>12</v>
      </c>
      <c r="Y39" s="234" t="s">
        <v>30</v>
      </c>
      <c r="Z39" s="191" t="s">
        <v>32</v>
      </c>
      <c r="AA39" s="191" t="s">
        <v>45</v>
      </c>
      <c r="AC39" s="191" t="s">
        <v>12</v>
      </c>
      <c r="AD39" s="231" t="s">
        <v>35</v>
      </c>
      <c r="AE39" s="191" t="s">
        <v>14</v>
      </c>
      <c r="AF39" s="231" t="s">
        <v>32</v>
      </c>
      <c r="AG39" s="234" t="s">
        <v>30</v>
      </c>
      <c r="AH39" s="191" t="s">
        <v>29</v>
      </c>
      <c r="AI39" s="254" t="s">
        <v>36</v>
      </c>
      <c r="AJ39" s="194" t="s">
        <v>41</v>
      </c>
      <c r="AL39" s="191" t="s">
        <v>32</v>
      </c>
      <c r="AM39" s="266" t="s">
        <v>39</v>
      </c>
      <c r="AN39" s="231" t="s">
        <v>29</v>
      </c>
      <c r="AO39" s="290" t="s">
        <v>38</v>
      </c>
      <c r="AP39" s="191" t="s">
        <v>14</v>
      </c>
      <c r="AQ39" s="291" t="s">
        <v>36</v>
      </c>
      <c r="AR39" s="231" t="s">
        <v>33</v>
      </c>
      <c r="AS39" s="231" t="s">
        <v>12</v>
      </c>
      <c r="AT39" s="292"/>
    </row>
    <row r="40" ht="63" spans="1:46">
      <c r="A40" s="289" t="s">
        <v>46</v>
      </c>
      <c r="B40" s="191" t="s">
        <v>33</v>
      </c>
      <c r="C40" s="254" t="s">
        <v>36</v>
      </c>
      <c r="D40" s="191" t="s">
        <v>35</v>
      </c>
      <c r="E40" s="191" t="s">
        <v>32</v>
      </c>
      <c r="F40" s="246" t="s">
        <v>38</v>
      </c>
      <c r="G40" s="191" t="s">
        <v>14</v>
      </c>
      <c r="H40" s="191" t="s">
        <v>12</v>
      </c>
      <c r="I40" s="194" t="s">
        <v>34</v>
      </c>
      <c r="J40" s="192"/>
      <c r="K40" s="191" t="s">
        <v>29</v>
      </c>
      <c r="L40" s="191" t="s">
        <v>14</v>
      </c>
      <c r="M40" s="191" t="s">
        <v>32</v>
      </c>
      <c r="N40" s="191" t="s">
        <v>47</v>
      </c>
      <c r="O40" s="194" t="s">
        <v>40</v>
      </c>
      <c r="P40" s="191" t="s">
        <v>12</v>
      </c>
      <c r="Q40" s="191" t="s">
        <v>12</v>
      </c>
      <c r="R40" s="194" t="s">
        <v>37</v>
      </c>
      <c r="S40" s="192"/>
      <c r="T40" s="208" t="s">
        <v>39</v>
      </c>
      <c r="U40" s="191" t="s">
        <v>29</v>
      </c>
      <c r="V40" s="234" t="s">
        <v>30</v>
      </c>
      <c r="W40" s="231" t="s">
        <v>12</v>
      </c>
      <c r="X40" s="191" t="s">
        <v>14</v>
      </c>
      <c r="Y40" s="291" t="s">
        <v>36</v>
      </c>
      <c r="Z40" s="191" t="s">
        <v>32</v>
      </c>
      <c r="AA40" s="191" t="s">
        <v>35</v>
      </c>
      <c r="AC40" s="191" t="s">
        <v>33</v>
      </c>
      <c r="AD40" s="191" t="s">
        <v>12</v>
      </c>
      <c r="AE40" s="232" t="s">
        <v>30</v>
      </c>
      <c r="AF40" s="191" t="s">
        <v>32</v>
      </c>
      <c r="AG40" s="191" t="s">
        <v>47</v>
      </c>
      <c r="AH40" s="191" t="s">
        <v>14</v>
      </c>
      <c r="AI40" s="191" t="s">
        <v>26</v>
      </c>
      <c r="AJ40" s="194" t="s">
        <v>41</v>
      </c>
      <c r="AK40" s="192"/>
      <c r="AL40" s="293" t="s">
        <v>43</v>
      </c>
      <c r="AM40" s="264" t="s">
        <v>31</v>
      </c>
      <c r="AN40" s="231" t="s">
        <v>32</v>
      </c>
      <c r="AO40" s="191" t="s">
        <v>14</v>
      </c>
      <c r="AP40" s="232" t="s">
        <v>30</v>
      </c>
      <c r="AQ40" s="231" t="s">
        <v>33</v>
      </c>
      <c r="AR40" s="231" t="s">
        <v>29</v>
      </c>
      <c r="AS40" s="231" t="s">
        <v>12</v>
      </c>
      <c r="AT40" s="292"/>
    </row>
    <row r="41" ht="63" spans="1:46">
      <c r="A41" s="289" t="s">
        <v>48</v>
      </c>
      <c r="B41" s="191" t="s">
        <v>32</v>
      </c>
      <c r="C41" s="209" t="s">
        <v>31</v>
      </c>
      <c r="D41" s="191" t="s">
        <v>12</v>
      </c>
      <c r="E41" s="191" t="s">
        <v>29</v>
      </c>
      <c r="F41" s="191" t="s">
        <v>33</v>
      </c>
      <c r="G41" s="232" t="s">
        <v>30</v>
      </c>
      <c r="H41" s="191" t="s">
        <v>14</v>
      </c>
      <c r="I41" s="194" t="s">
        <v>34</v>
      </c>
      <c r="J41" s="192"/>
      <c r="K41" s="191" t="s">
        <v>12</v>
      </c>
      <c r="L41" s="191" t="s">
        <v>12</v>
      </c>
      <c r="M41" s="191" t="s">
        <v>29</v>
      </c>
      <c r="N41" s="191" t="s">
        <v>14</v>
      </c>
      <c r="O41" s="194" t="s">
        <v>40</v>
      </c>
      <c r="P41" s="191" t="s">
        <v>32</v>
      </c>
      <c r="Q41" s="191" t="s">
        <v>47</v>
      </c>
      <c r="R41" s="194" t="s">
        <v>37</v>
      </c>
      <c r="S41" s="192"/>
      <c r="T41" s="191" t="s">
        <v>14</v>
      </c>
      <c r="U41" s="234" t="s">
        <v>30</v>
      </c>
      <c r="V41" s="206" t="s">
        <v>39</v>
      </c>
      <c r="W41" s="293" t="s">
        <v>43</v>
      </c>
      <c r="X41" s="231" t="s">
        <v>12</v>
      </c>
      <c r="Y41" s="191" t="s">
        <v>33</v>
      </c>
      <c r="Z41" s="294" t="s">
        <v>36</v>
      </c>
      <c r="AA41" s="191" t="s">
        <v>32</v>
      </c>
      <c r="AC41" s="191" t="s">
        <v>32</v>
      </c>
      <c r="AD41" s="191" t="s">
        <v>47</v>
      </c>
      <c r="AE41" s="191" t="s">
        <v>14</v>
      </c>
      <c r="AF41" s="191" t="s">
        <v>26</v>
      </c>
      <c r="AG41" s="231" t="s">
        <v>35</v>
      </c>
      <c r="AH41" s="231" t="s">
        <v>12</v>
      </c>
      <c r="AI41" s="232" t="s">
        <v>30</v>
      </c>
      <c r="AJ41" s="194" t="s">
        <v>41</v>
      </c>
      <c r="AL41" s="231" t="s">
        <v>32</v>
      </c>
      <c r="AM41" s="191" t="s">
        <v>35</v>
      </c>
      <c r="AN41" s="231" t="s">
        <v>14</v>
      </c>
      <c r="AO41" s="191" t="s">
        <v>33</v>
      </c>
      <c r="AP41" s="246" t="s">
        <v>38</v>
      </c>
      <c r="AQ41" s="231" t="s">
        <v>12</v>
      </c>
      <c r="AR41" s="291" t="s">
        <v>36</v>
      </c>
      <c r="AS41" s="231" t="s">
        <v>29</v>
      </c>
      <c r="AT41" s="292"/>
    </row>
    <row r="42" ht="63" spans="1:46">
      <c r="A42" s="289" t="s">
        <v>49</v>
      </c>
      <c r="B42" s="191" t="s">
        <v>35</v>
      </c>
      <c r="C42" s="191" t="s">
        <v>12</v>
      </c>
      <c r="D42" s="191" t="s">
        <v>14</v>
      </c>
      <c r="E42" s="191" t="s">
        <v>33</v>
      </c>
      <c r="F42" s="191" t="s">
        <v>29</v>
      </c>
      <c r="G42" s="191" t="s">
        <v>32</v>
      </c>
      <c r="H42" s="295" t="s">
        <v>30</v>
      </c>
      <c r="I42" s="194" t="s">
        <v>34</v>
      </c>
      <c r="J42" s="192"/>
      <c r="K42" s="191" t="s">
        <v>29</v>
      </c>
      <c r="L42" s="191" t="s">
        <v>14</v>
      </c>
      <c r="M42" s="191" t="s">
        <v>32</v>
      </c>
      <c r="N42" s="191" t="s">
        <v>50</v>
      </c>
      <c r="O42" s="194" t="s">
        <v>40</v>
      </c>
      <c r="P42" s="191" t="s">
        <v>12</v>
      </c>
      <c r="Q42" s="191" t="s">
        <v>12</v>
      </c>
      <c r="R42" s="194" t="s">
        <v>37</v>
      </c>
      <c r="S42" s="192"/>
      <c r="T42" s="191" t="s">
        <v>36</v>
      </c>
      <c r="U42" s="191" t="s">
        <v>12</v>
      </c>
      <c r="V42" s="246" t="s">
        <v>38</v>
      </c>
      <c r="W42" s="191" t="s">
        <v>14</v>
      </c>
      <c r="X42" s="191" t="s">
        <v>26</v>
      </c>
      <c r="Y42" s="191" t="s">
        <v>32</v>
      </c>
      <c r="Z42" s="191" t="s">
        <v>35</v>
      </c>
      <c r="AA42" s="191" t="s">
        <v>33</v>
      </c>
      <c r="AB42" s="192"/>
      <c r="AC42" s="244" t="s">
        <v>43</v>
      </c>
      <c r="AD42" s="296" t="s">
        <v>30</v>
      </c>
      <c r="AE42" s="191" t="s">
        <v>12</v>
      </c>
      <c r="AF42" s="191" t="s">
        <v>14</v>
      </c>
      <c r="AG42" s="191" t="s">
        <v>33</v>
      </c>
      <c r="AH42" s="191" t="s">
        <v>32</v>
      </c>
      <c r="AI42" s="206" t="s">
        <v>39</v>
      </c>
      <c r="AJ42" s="194" t="s">
        <v>41</v>
      </c>
      <c r="AL42" s="191" t="s">
        <v>32</v>
      </c>
      <c r="AM42" s="191" t="s">
        <v>50</v>
      </c>
      <c r="AN42" s="209" t="s">
        <v>31</v>
      </c>
      <c r="AO42" s="191" t="s">
        <v>14</v>
      </c>
      <c r="AP42" s="191" t="s">
        <v>29</v>
      </c>
      <c r="AQ42" s="191" t="s">
        <v>36</v>
      </c>
      <c r="AR42" s="191" t="s">
        <v>12</v>
      </c>
      <c r="AS42" s="295" t="s">
        <v>30</v>
      </c>
      <c r="AT42" s="292"/>
    </row>
    <row r="43" ht="63" spans="1:46">
      <c r="A43" s="289" t="s">
        <v>51</v>
      </c>
      <c r="B43" s="209" t="s">
        <v>31</v>
      </c>
      <c r="C43" s="191" t="s">
        <v>29</v>
      </c>
      <c r="D43" s="191" t="s">
        <v>12</v>
      </c>
      <c r="E43" s="191" t="s">
        <v>32</v>
      </c>
      <c r="F43" s="191" t="s">
        <v>35</v>
      </c>
      <c r="G43" s="191" t="s">
        <v>14</v>
      </c>
      <c r="H43" s="191" t="s">
        <v>36</v>
      </c>
      <c r="I43" s="194" t="s">
        <v>34</v>
      </c>
      <c r="J43" s="192"/>
      <c r="K43" s="191" t="s">
        <v>12</v>
      </c>
      <c r="L43" s="191" t="s">
        <v>12</v>
      </c>
      <c r="M43" s="191" t="s">
        <v>35</v>
      </c>
      <c r="N43" s="191" t="s">
        <v>14</v>
      </c>
      <c r="O43" s="194" t="s">
        <v>40</v>
      </c>
      <c r="P43" s="191" t="s">
        <v>32</v>
      </c>
      <c r="Q43" s="191" t="s">
        <v>50</v>
      </c>
      <c r="R43" s="194" t="s">
        <v>37</v>
      </c>
      <c r="S43" s="192"/>
      <c r="T43" s="191" t="s">
        <v>14</v>
      </c>
      <c r="U43" s="191" t="s">
        <v>26</v>
      </c>
      <c r="V43" s="191" t="s">
        <v>29</v>
      </c>
      <c r="W43" s="191" t="s">
        <v>36</v>
      </c>
      <c r="X43" s="191" t="s">
        <v>12</v>
      </c>
      <c r="Y43" s="295" t="s">
        <v>30</v>
      </c>
      <c r="Z43" s="192" t="s">
        <v>33</v>
      </c>
      <c r="AA43" s="191" t="s">
        <v>32</v>
      </c>
      <c r="AB43" s="192"/>
      <c r="AC43" s="191" t="s">
        <v>12</v>
      </c>
      <c r="AD43" s="206" t="s">
        <v>39</v>
      </c>
      <c r="AE43" s="295" t="s">
        <v>30</v>
      </c>
      <c r="AF43" s="191" t="s">
        <v>33</v>
      </c>
      <c r="AG43" s="191" t="s">
        <v>14</v>
      </c>
      <c r="AH43" s="191" t="s">
        <v>29</v>
      </c>
      <c r="AI43" s="191" t="s">
        <v>32</v>
      </c>
      <c r="AJ43" s="194" t="s">
        <v>41</v>
      </c>
      <c r="AK43" s="192"/>
      <c r="AL43" s="191" t="s">
        <v>33</v>
      </c>
      <c r="AM43" s="295" t="s">
        <v>30</v>
      </c>
      <c r="AN43" s="246" t="s">
        <v>38</v>
      </c>
      <c r="AO43" s="191" t="s">
        <v>32</v>
      </c>
      <c r="AP43" s="191" t="s">
        <v>50</v>
      </c>
      <c r="AQ43" s="244" t="s">
        <v>43</v>
      </c>
      <c r="AR43" s="191" t="s">
        <v>14</v>
      </c>
      <c r="AS43" s="191" t="s">
        <v>12</v>
      </c>
      <c r="AT43" s="292"/>
    </row>
    <row r="44" ht="63" spans="1:46">
      <c r="A44" s="289" t="s">
        <v>52</v>
      </c>
      <c r="B44" s="191" t="s">
        <v>29</v>
      </c>
      <c r="C44" s="297" t="s">
        <v>30</v>
      </c>
      <c r="D44" s="231" t="s">
        <v>12</v>
      </c>
      <c r="E44" s="205" t="s">
        <v>33</v>
      </c>
      <c r="F44" s="191" t="s">
        <v>14</v>
      </c>
      <c r="G44" s="191" t="s">
        <v>32</v>
      </c>
      <c r="H44" s="192" t="s">
        <v>35</v>
      </c>
      <c r="I44" s="194" t="s">
        <v>34</v>
      </c>
      <c r="J44" s="192"/>
      <c r="K44" s="191" t="s">
        <v>12</v>
      </c>
      <c r="L44" s="191" t="s">
        <v>12</v>
      </c>
      <c r="M44" s="191" t="s">
        <v>14</v>
      </c>
      <c r="N44" s="191" t="s">
        <v>32</v>
      </c>
      <c r="O44" s="191" t="s">
        <v>53</v>
      </c>
      <c r="P44" s="209" t="s">
        <v>31</v>
      </c>
      <c r="Q44" s="191" t="s">
        <v>33</v>
      </c>
      <c r="R44" s="194" t="s">
        <v>37</v>
      </c>
      <c r="T44" s="191" t="s">
        <v>14</v>
      </c>
      <c r="U44" s="246" t="s">
        <v>38</v>
      </c>
      <c r="V44" s="191" t="s">
        <v>12</v>
      </c>
      <c r="W44" s="206" t="s">
        <v>39</v>
      </c>
      <c r="X44" s="191" t="s">
        <v>36</v>
      </c>
      <c r="Y44" s="191" t="s">
        <v>33</v>
      </c>
      <c r="Z44" s="191" t="s">
        <v>32</v>
      </c>
      <c r="AA44" s="194" t="s">
        <v>40</v>
      </c>
      <c r="AC44" s="191" t="s">
        <v>32</v>
      </c>
      <c r="AD44" s="191" t="s">
        <v>14</v>
      </c>
      <c r="AE44" s="191" t="s">
        <v>12</v>
      </c>
      <c r="AF44" s="191" t="s">
        <v>35</v>
      </c>
      <c r="AG44" s="295" t="s">
        <v>30</v>
      </c>
      <c r="AH44" s="191" t="s">
        <v>36</v>
      </c>
      <c r="AI44" s="191" t="s">
        <v>29</v>
      </c>
      <c r="AJ44" s="194" t="s">
        <v>41</v>
      </c>
      <c r="AK44" s="192"/>
      <c r="AL44" s="191" t="s">
        <v>14</v>
      </c>
      <c r="AM44" s="191" t="s">
        <v>26</v>
      </c>
      <c r="AN44" s="295" t="s">
        <v>30</v>
      </c>
      <c r="AO44" s="191" t="s">
        <v>32</v>
      </c>
      <c r="AP44" s="191" t="s">
        <v>53</v>
      </c>
      <c r="AQ44" s="191" t="s">
        <v>12</v>
      </c>
      <c r="AR44" s="244" t="s">
        <v>43</v>
      </c>
      <c r="AS44" s="191" t="s">
        <v>29</v>
      </c>
      <c r="AT44" s="292"/>
    </row>
    <row r="45" ht="63" spans="1:46">
      <c r="A45" s="289" t="s">
        <v>54</v>
      </c>
      <c r="B45" s="206" t="s">
        <v>39</v>
      </c>
      <c r="C45" s="191" t="s">
        <v>32</v>
      </c>
      <c r="D45" s="191" t="s">
        <v>14</v>
      </c>
      <c r="E45" s="209" t="s">
        <v>31</v>
      </c>
      <c r="F45" s="295" t="s">
        <v>30</v>
      </c>
      <c r="G45" s="191" t="s">
        <v>12</v>
      </c>
      <c r="H45" s="205" t="s">
        <v>33</v>
      </c>
      <c r="I45" s="194" t="s">
        <v>34</v>
      </c>
      <c r="K45" s="191" t="s">
        <v>32</v>
      </c>
      <c r="L45" s="191" t="s">
        <v>53</v>
      </c>
      <c r="M45" s="191" t="s">
        <v>29</v>
      </c>
      <c r="N45" s="191" t="s">
        <v>12</v>
      </c>
      <c r="O45" s="191" t="s">
        <v>12</v>
      </c>
      <c r="P45" s="192" t="s">
        <v>14</v>
      </c>
      <c r="Q45" s="191" t="s">
        <v>35</v>
      </c>
      <c r="R45" s="194" t="s">
        <v>37</v>
      </c>
      <c r="T45" s="191" t="s">
        <v>29</v>
      </c>
      <c r="U45" s="244" t="s">
        <v>43</v>
      </c>
      <c r="V45" s="295" t="s">
        <v>30</v>
      </c>
      <c r="W45" s="191" t="s">
        <v>14</v>
      </c>
      <c r="X45" s="191" t="s">
        <v>12</v>
      </c>
      <c r="Y45" s="191" t="s">
        <v>32</v>
      </c>
      <c r="Z45" s="191" t="s">
        <v>33</v>
      </c>
      <c r="AA45" s="194" t="s">
        <v>40</v>
      </c>
      <c r="AC45" s="191" t="s">
        <v>35</v>
      </c>
      <c r="AD45" s="191" t="s">
        <v>12</v>
      </c>
      <c r="AE45" s="191" t="s">
        <v>14</v>
      </c>
      <c r="AF45" s="191" t="s">
        <v>32</v>
      </c>
      <c r="AG45" s="246" t="s">
        <v>38</v>
      </c>
      <c r="AH45" s="295" t="s">
        <v>30</v>
      </c>
      <c r="AI45" s="191" t="s">
        <v>36</v>
      </c>
      <c r="AJ45" s="194" t="s">
        <v>41</v>
      </c>
      <c r="AK45" s="192"/>
      <c r="AL45" s="191" t="s">
        <v>32</v>
      </c>
      <c r="AM45" s="191" t="s">
        <v>53</v>
      </c>
      <c r="AN45" s="191" t="s">
        <v>29</v>
      </c>
      <c r="AO45" s="191" t="s">
        <v>14</v>
      </c>
      <c r="AP45" s="191" t="s">
        <v>26</v>
      </c>
      <c r="AQ45" s="191" t="s">
        <v>33</v>
      </c>
      <c r="AR45" s="191" t="s">
        <v>36</v>
      </c>
      <c r="AS45" s="191" t="s">
        <v>12</v>
      </c>
      <c r="AT45" s="292"/>
    </row>
    <row r="46" ht="63" spans="1:46">
      <c r="A46" s="289" t="s">
        <v>55</v>
      </c>
      <c r="B46" s="191" t="s">
        <v>32</v>
      </c>
      <c r="C46" s="298" t="s">
        <v>30</v>
      </c>
      <c r="D46" s="205" t="s">
        <v>33</v>
      </c>
      <c r="E46" s="191" t="s">
        <v>36</v>
      </c>
      <c r="F46" s="244" t="s">
        <v>43</v>
      </c>
      <c r="G46" s="191" t="s">
        <v>12</v>
      </c>
      <c r="H46" s="191" t="s">
        <v>14</v>
      </c>
      <c r="I46" s="194" t="s">
        <v>34</v>
      </c>
      <c r="K46" s="191" t="s">
        <v>12</v>
      </c>
      <c r="L46" s="191" t="s">
        <v>12</v>
      </c>
      <c r="M46" s="191" t="s">
        <v>29</v>
      </c>
      <c r="N46" s="191" t="s">
        <v>14</v>
      </c>
      <c r="O46" s="191" t="s">
        <v>32</v>
      </c>
      <c r="P46" s="191" t="s">
        <v>35</v>
      </c>
      <c r="Q46" s="209" t="s">
        <v>31</v>
      </c>
      <c r="R46" s="194" t="s">
        <v>37</v>
      </c>
      <c r="T46" s="191" t="s">
        <v>14</v>
      </c>
      <c r="U46" s="191" t="s">
        <v>26</v>
      </c>
      <c r="V46" s="191" t="s">
        <v>29</v>
      </c>
      <c r="W46" s="191" t="s">
        <v>12</v>
      </c>
      <c r="X46" s="246" t="s">
        <v>38</v>
      </c>
      <c r="Y46" s="191" t="s">
        <v>32</v>
      </c>
      <c r="Z46" s="192" t="s">
        <v>35</v>
      </c>
      <c r="AA46" s="194" t="s">
        <v>40</v>
      </c>
      <c r="AB46" s="192"/>
      <c r="AC46" s="191" t="s">
        <v>32</v>
      </c>
      <c r="AD46" s="191" t="s">
        <v>56</v>
      </c>
      <c r="AE46" s="191" t="s">
        <v>12</v>
      </c>
      <c r="AF46" s="298" t="s">
        <v>30</v>
      </c>
      <c r="AG46" s="206" t="s">
        <v>39</v>
      </c>
      <c r="AH46" s="191" t="s">
        <v>33</v>
      </c>
      <c r="AI46" s="191" t="s">
        <v>14</v>
      </c>
      <c r="AJ46" s="194" t="s">
        <v>41</v>
      </c>
      <c r="AL46" s="191" t="s">
        <v>32</v>
      </c>
      <c r="AM46" s="191" t="s">
        <v>56</v>
      </c>
      <c r="AN46" s="298" t="s">
        <v>30</v>
      </c>
      <c r="AO46" s="237" t="s">
        <v>29</v>
      </c>
      <c r="AP46" s="191" t="s">
        <v>14</v>
      </c>
      <c r="AQ46" s="191" t="s">
        <v>12</v>
      </c>
      <c r="AR46" s="191" t="s">
        <v>33</v>
      </c>
      <c r="AS46" s="191" t="s">
        <v>36</v>
      </c>
      <c r="AT46" s="292"/>
    </row>
    <row r="47" ht="63" spans="1:46">
      <c r="A47" s="289" t="s">
        <v>57</v>
      </c>
      <c r="B47" s="191" t="s">
        <v>14</v>
      </c>
      <c r="C47" s="191" t="s">
        <v>12</v>
      </c>
      <c r="D47" s="208" t="s">
        <v>39</v>
      </c>
      <c r="E47" s="191" t="s">
        <v>32</v>
      </c>
      <c r="F47" s="191" t="s">
        <v>36</v>
      </c>
      <c r="G47" s="205" t="s">
        <v>33</v>
      </c>
      <c r="H47" s="191" t="s">
        <v>29</v>
      </c>
      <c r="I47" s="194" t="s">
        <v>34</v>
      </c>
      <c r="K47" s="191" t="s">
        <v>14</v>
      </c>
      <c r="L47" s="191" t="s">
        <v>29</v>
      </c>
      <c r="M47" s="191" t="s">
        <v>32</v>
      </c>
      <c r="N47" s="191" t="s">
        <v>12</v>
      </c>
      <c r="O47" s="191" t="s">
        <v>12</v>
      </c>
      <c r="P47" s="191" t="s">
        <v>33</v>
      </c>
      <c r="Q47" s="298" t="s">
        <v>30</v>
      </c>
      <c r="R47" s="194" t="s">
        <v>37</v>
      </c>
      <c r="T47" s="191" t="s">
        <v>36</v>
      </c>
      <c r="U47" s="298" t="s">
        <v>30</v>
      </c>
      <c r="V47" s="191" t="s">
        <v>12</v>
      </c>
      <c r="W47" s="191" t="s">
        <v>14</v>
      </c>
      <c r="X47" s="191" t="s">
        <v>26</v>
      </c>
      <c r="Y47" s="191" t="s">
        <v>35</v>
      </c>
      <c r="Z47" s="191" t="s">
        <v>32</v>
      </c>
      <c r="AA47" s="194" t="s">
        <v>40</v>
      </c>
      <c r="AB47" s="192"/>
      <c r="AC47" s="191" t="s">
        <v>12</v>
      </c>
      <c r="AD47" s="191" t="s">
        <v>33</v>
      </c>
      <c r="AE47" s="191" t="s">
        <v>14</v>
      </c>
      <c r="AF47" s="246" t="s">
        <v>38</v>
      </c>
      <c r="AG47" s="298" t="s">
        <v>30</v>
      </c>
      <c r="AH47" s="191" t="s">
        <v>32</v>
      </c>
      <c r="AI47" s="191" t="s">
        <v>56</v>
      </c>
      <c r="AJ47" s="194" t="s">
        <v>41</v>
      </c>
      <c r="AK47" s="192"/>
      <c r="AL47" s="237" t="s">
        <v>29</v>
      </c>
      <c r="AM47" s="244" t="s">
        <v>43</v>
      </c>
      <c r="AN47" s="191" t="s">
        <v>14</v>
      </c>
      <c r="AO47" s="191" t="s">
        <v>32</v>
      </c>
      <c r="AP47" s="191" t="s">
        <v>56</v>
      </c>
      <c r="AQ47" s="209" t="s">
        <v>31</v>
      </c>
      <c r="AR47" s="191" t="s">
        <v>12</v>
      </c>
      <c r="AS47" s="191" t="s">
        <v>35</v>
      </c>
      <c r="AT47" s="292"/>
    </row>
    <row r="48" ht="63" spans="1:46">
      <c r="A48" s="289" t="s">
        <v>58</v>
      </c>
      <c r="B48" s="191" t="s">
        <v>29</v>
      </c>
      <c r="C48" s="246" t="s">
        <v>38</v>
      </c>
      <c r="D48" s="299" t="s">
        <v>33</v>
      </c>
      <c r="E48" s="191" t="s">
        <v>32</v>
      </c>
      <c r="F48" s="191" t="s">
        <v>14</v>
      </c>
      <c r="G48" s="300" t="s">
        <v>30</v>
      </c>
      <c r="H48" s="191" t="s">
        <v>12</v>
      </c>
      <c r="I48" s="194" t="s">
        <v>34</v>
      </c>
      <c r="K48" s="191" t="s">
        <v>12</v>
      </c>
      <c r="L48" s="191" t="s">
        <v>12</v>
      </c>
      <c r="M48" s="191" t="s">
        <v>14</v>
      </c>
      <c r="N48" s="191" t="s">
        <v>59</v>
      </c>
      <c r="O48" s="191" t="s">
        <v>32</v>
      </c>
      <c r="P48" s="191" t="s">
        <v>33</v>
      </c>
      <c r="Q48" s="191" t="s">
        <v>36</v>
      </c>
      <c r="R48" s="194" t="s">
        <v>37</v>
      </c>
      <c r="S48" s="192"/>
      <c r="T48" s="191" t="s">
        <v>14</v>
      </c>
      <c r="U48" s="191" t="s">
        <v>26</v>
      </c>
      <c r="V48" s="191" t="s">
        <v>12</v>
      </c>
      <c r="W48" s="191" t="s">
        <v>29</v>
      </c>
      <c r="X48" s="298" t="s">
        <v>30</v>
      </c>
      <c r="Y48" s="191" t="s">
        <v>32</v>
      </c>
      <c r="Z48" s="191" t="s">
        <v>35</v>
      </c>
      <c r="AA48" s="194" t="s">
        <v>40</v>
      </c>
      <c r="AB48" s="192"/>
      <c r="AC48" s="191" t="s">
        <v>32</v>
      </c>
      <c r="AD48" s="191" t="s">
        <v>33</v>
      </c>
      <c r="AE48" s="244" t="s">
        <v>43</v>
      </c>
      <c r="AF48" s="197" t="s">
        <v>39</v>
      </c>
      <c r="AG48" s="191" t="s">
        <v>12</v>
      </c>
      <c r="AH48" s="191" t="s">
        <v>29</v>
      </c>
      <c r="AI48" s="191" t="s">
        <v>14</v>
      </c>
      <c r="AJ48" s="194" t="s">
        <v>41</v>
      </c>
      <c r="AK48" s="192"/>
      <c r="AL48" s="191" t="s">
        <v>14</v>
      </c>
      <c r="AM48" s="298" t="s">
        <v>30</v>
      </c>
      <c r="AN48" s="191" t="s">
        <v>35</v>
      </c>
      <c r="AO48" s="191" t="s">
        <v>32</v>
      </c>
      <c r="AP48" s="191" t="s">
        <v>59</v>
      </c>
      <c r="AQ48" s="191" t="s">
        <v>36</v>
      </c>
      <c r="AR48" s="209" t="s">
        <v>31</v>
      </c>
      <c r="AS48" s="192" t="s">
        <v>12</v>
      </c>
      <c r="AT48" s="292"/>
    </row>
    <row r="49" ht="63" spans="1:46">
      <c r="A49" s="289" t="s">
        <v>60</v>
      </c>
      <c r="B49" s="191" t="s">
        <v>32</v>
      </c>
      <c r="C49" s="244" t="s">
        <v>43</v>
      </c>
      <c r="D49" s="191" t="s">
        <v>14</v>
      </c>
      <c r="E49" s="246" t="s">
        <v>38</v>
      </c>
      <c r="F49" s="191" t="s">
        <v>12</v>
      </c>
      <c r="G49" s="191" t="s">
        <v>35</v>
      </c>
      <c r="H49" s="191" t="s">
        <v>36</v>
      </c>
      <c r="I49" s="194" t="s">
        <v>34</v>
      </c>
      <c r="K49" s="191" t="s">
        <v>32</v>
      </c>
      <c r="L49" s="191" t="s">
        <v>59</v>
      </c>
      <c r="M49" s="191" t="s">
        <v>33</v>
      </c>
      <c r="N49" s="191" t="s">
        <v>12</v>
      </c>
      <c r="O49" s="191" t="s">
        <v>12</v>
      </c>
      <c r="P49" s="191" t="s">
        <v>14</v>
      </c>
      <c r="Q49" s="191" t="s">
        <v>29</v>
      </c>
      <c r="R49" s="194" t="s">
        <v>37</v>
      </c>
      <c r="S49" s="192"/>
      <c r="T49" s="191" t="s">
        <v>29</v>
      </c>
      <c r="U49" s="191" t="s">
        <v>12</v>
      </c>
      <c r="V49" s="298" t="s">
        <v>30</v>
      </c>
      <c r="W49" s="191" t="s">
        <v>14</v>
      </c>
      <c r="X49" s="191" t="s">
        <v>26</v>
      </c>
      <c r="Y49" s="209" t="s">
        <v>31</v>
      </c>
      <c r="Z49" s="191" t="s">
        <v>32</v>
      </c>
      <c r="AA49" s="194" t="s">
        <v>40</v>
      </c>
      <c r="AC49" s="191" t="s">
        <v>14</v>
      </c>
      <c r="AD49" s="191" t="s">
        <v>12</v>
      </c>
      <c r="AE49" s="191" t="s">
        <v>36</v>
      </c>
      <c r="AF49" s="191" t="s">
        <v>32</v>
      </c>
      <c r="AG49" s="191" t="s">
        <v>33</v>
      </c>
      <c r="AH49" s="191" t="s">
        <v>35</v>
      </c>
      <c r="AI49" s="298" t="s">
        <v>30</v>
      </c>
      <c r="AJ49" s="194" t="s">
        <v>41</v>
      </c>
      <c r="AL49" s="191" t="s">
        <v>59</v>
      </c>
      <c r="AM49" s="191" t="s">
        <v>32</v>
      </c>
      <c r="AN49" s="197" t="s">
        <v>39</v>
      </c>
      <c r="AO49" s="191" t="s">
        <v>14</v>
      </c>
      <c r="AP49" s="237" t="s">
        <v>29</v>
      </c>
      <c r="AQ49" s="192" t="s">
        <v>12</v>
      </c>
      <c r="AR49" s="191" t="s">
        <v>33</v>
      </c>
      <c r="AS49" s="298" t="s">
        <v>30</v>
      </c>
      <c r="AT49" s="292"/>
    </row>
    <row r="50" ht="63" spans="1:46">
      <c r="A50" s="289" t="s">
        <v>61</v>
      </c>
      <c r="B50" s="191" t="s">
        <v>14</v>
      </c>
      <c r="C50" s="212" t="s">
        <v>33</v>
      </c>
      <c r="D50" s="191" t="s">
        <v>32</v>
      </c>
      <c r="E50" s="191" t="s">
        <v>12</v>
      </c>
      <c r="F50" s="197" t="s">
        <v>39</v>
      </c>
      <c r="G50" s="191" t="s">
        <v>29</v>
      </c>
      <c r="H50" s="191" t="s">
        <v>35</v>
      </c>
      <c r="I50" s="194" t="s">
        <v>34</v>
      </c>
      <c r="K50" s="191" t="s">
        <v>12</v>
      </c>
      <c r="L50" s="191" t="s">
        <v>12</v>
      </c>
      <c r="M50" s="191" t="s">
        <v>14</v>
      </c>
      <c r="N50" s="191" t="s">
        <v>62</v>
      </c>
      <c r="O50" s="191" t="s">
        <v>32</v>
      </c>
      <c r="P50" s="301" t="s">
        <v>38</v>
      </c>
      <c r="Q50" s="244" t="s">
        <v>43</v>
      </c>
      <c r="R50" s="194" t="s">
        <v>37</v>
      </c>
      <c r="S50" s="191"/>
      <c r="T50" s="191" t="s">
        <v>29</v>
      </c>
      <c r="U50" s="191" t="s">
        <v>12</v>
      </c>
      <c r="V50" s="302" t="s">
        <v>30</v>
      </c>
      <c r="W50" s="191" t="s">
        <v>14</v>
      </c>
      <c r="X50" s="191" t="s">
        <v>26</v>
      </c>
      <c r="Y50" s="191" t="s">
        <v>32</v>
      </c>
      <c r="Z50" s="191" t="s">
        <v>33</v>
      </c>
      <c r="AA50" s="191" t="s">
        <v>36</v>
      </c>
      <c r="AB50" s="191"/>
      <c r="AC50" s="303" t="s">
        <v>31</v>
      </c>
      <c r="AD50" s="191" t="s">
        <v>32</v>
      </c>
      <c r="AE50" s="191" t="s">
        <v>62</v>
      </c>
      <c r="AF50" s="191" t="s">
        <v>12</v>
      </c>
      <c r="AG50" s="191" t="s">
        <v>14</v>
      </c>
      <c r="AH50" s="302" t="s">
        <v>30</v>
      </c>
      <c r="AI50" s="191" t="s">
        <v>35</v>
      </c>
      <c r="AJ50" s="194" t="s">
        <v>41</v>
      </c>
      <c r="AK50" s="192"/>
      <c r="AL50" s="191" t="s">
        <v>32</v>
      </c>
      <c r="AM50" s="191" t="s">
        <v>29</v>
      </c>
      <c r="AN50" s="302" t="s">
        <v>30</v>
      </c>
      <c r="AO50" s="191" t="s">
        <v>14</v>
      </c>
      <c r="AP50" s="191" t="s">
        <v>33</v>
      </c>
      <c r="AQ50" s="191" t="s">
        <v>36</v>
      </c>
      <c r="AR50" s="191" t="s">
        <v>12</v>
      </c>
      <c r="AS50" s="194" t="s">
        <v>40</v>
      </c>
      <c r="AT50" s="292"/>
    </row>
    <row r="51" ht="63" spans="1:46">
      <c r="A51" s="289" t="s">
        <v>63</v>
      </c>
      <c r="B51" s="191" t="s">
        <v>32</v>
      </c>
      <c r="C51" s="303" t="s">
        <v>31</v>
      </c>
      <c r="D51" s="191" t="s">
        <v>36</v>
      </c>
      <c r="E51" s="191" t="s">
        <v>29</v>
      </c>
      <c r="F51" s="191" t="s">
        <v>12</v>
      </c>
      <c r="G51" s="191" t="s">
        <v>14</v>
      </c>
      <c r="H51" s="212" t="s">
        <v>33</v>
      </c>
      <c r="I51" s="194" t="s">
        <v>34</v>
      </c>
      <c r="K51" s="191" t="s">
        <v>32</v>
      </c>
      <c r="L51" s="191" t="s">
        <v>62</v>
      </c>
      <c r="M51" s="191" t="s">
        <v>35</v>
      </c>
      <c r="N51" s="191" t="s">
        <v>12</v>
      </c>
      <c r="O51" s="191" t="s">
        <v>12</v>
      </c>
      <c r="P51" s="191" t="s">
        <v>29</v>
      </c>
      <c r="Q51" s="191" t="s">
        <v>14</v>
      </c>
      <c r="R51" s="194" t="s">
        <v>37</v>
      </c>
      <c r="S51" s="192"/>
      <c r="T51" s="191" t="s">
        <v>14</v>
      </c>
      <c r="U51" s="191" t="s">
        <v>26</v>
      </c>
      <c r="V51" s="191" t="s">
        <v>12</v>
      </c>
      <c r="W51" s="191" t="s">
        <v>36</v>
      </c>
      <c r="X51" s="202" t="s">
        <v>39</v>
      </c>
      <c r="Y51" s="191" t="s">
        <v>33</v>
      </c>
      <c r="Z51" s="191" t="s">
        <v>32</v>
      </c>
      <c r="AA51" s="302" t="s">
        <v>30</v>
      </c>
      <c r="AC51" s="191" t="s">
        <v>12</v>
      </c>
      <c r="AD51" s="191" t="s">
        <v>14</v>
      </c>
      <c r="AE51" s="191" t="s">
        <v>35</v>
      </c>
      <c r="AF51" s="302" t="s">
        <v>30</v>
      </c>
      <c r="AG51" s="304" t="s">
        <v>38</v>
      </c>
      <c r="AH51" s="191" t="s">
        <v>32</v>
      </c>
      <c r="AI51" s="191" t="s">
        <v>62</v>
      </c>
      <c r="AJ51" s="194" t="s">
        <v>41</v>
      </c>
      <c r="AK51" s="191"/>
      <c r="AL51" s="191" t="s">
        <v>29</v>
      </c>
      <c r="AM51" s="191" t="s">
        <v>33</v>
      </c>
      <c r="AN51" s="191" t="s">
        <v>32</v>
      </c>
      <c r="AO51" s="206" t="s">
        <v>43</v>
      </c>
      <c r="AP51" s="191" t="s">
        <v>14</v>
      </c>
      <c r="AQ51" s="191" t="s">
        <v>12</v>
      </c>
      <c r="AR51" s="302" t="s">
        <v>30</v>
      </c>
      <c r="AS51" s="194" t="s">
        <v>40</v>
      </c>
      <c r="AT51" s="292"/>
    </row>
    <row r="52" ht="63" spans="1:46">
      <c r="A52" s="289" t="s">
        <v>64</v>
      </c>
      <c r="B52" s="191" t="s">
        <v>32</v>
      </c>
      <c r="C52" s="206" t="s">
        <v>43</v>
      </c>
      <c r="D52" s="191" t="s">
        <v>14</v>
      </c>
      <c r="E52" s="197" t="s">
        <v>39</v>
      </c>
      <c r="F52" s="191" t="s">
        <v>12</v>
      </c>
      <c r="G52" s="191" t="s">
        <v>36</v>
      </c>
      <c r="H52" s="302" t="s">
        <v>30</v>
      </c>
      <c r="I52" s="194" t="s">
        <v>34</v>
      </c>
      <c r="K52" s="191" t="s">
        <v>12</v>
      </c>
      <c r="L52" s="303" t="s">
        <v>31</v>
      </c>
      <c r="M52" s="193" t="s">
        <v>33</v>
      </c>
      <c r="N52" s="191" t="s">
        <v>65</v>
      </c>
      <c r="O52" s="191" t="s">
        <v>32</v>
      </c>
      <c r="P52" s="191" t="s">
        <v>35</v>
      </c>
      <c r="Q52" s="191" t="s">
        <v>14</v>
      </c>
      <c r="R52" s="194" t="s">
        <v>37</v>
      </c>
      <c r="S52" s="192"/>
      <c r="T52" s="191" t="s">
        <v>14</v>
      </c>
      <c r="U52" s="191" t="s">
        <v>26</v>
      </c>
      <c r="V52" s="191" t="s">
        <v>29</v>
      </c>
      <c r="W52" s="191" t="s">
        <v>12</v>
      </c>
      <c r="X52" s="191" t="s">
        <v>12</v>
      </c>
      <c r="Y52" s="302" t="s">
        <v>30</v>
      </c>
      <c r="Z52" s="193" t="s">
        <v>33</v>
      </c>
      <c r="AA52" s="191" t="s">
        <v>32</v>
      </c>
      <c r="AB52" s="192"/>
      <c r="AC52" s="191" t="s">
        <v>36</v>
      </c>
      <c r="AD52" s="191" t="s">
        <v>32</v>
      </c>
      <c r="AE52" s="191" t="s">
        <v>66</v>
      </c>
      <c r="AF52" s="191" t="s">
        <v>12</v>
      </c>
      <c r="AG52" s="191" t="s">
        <v>14</v>
      </c>
      <c r="AH52" s="193" t="s">
        <v>33</v>
      </c>
      <c r="AI52" s="191" t="s">
        <v>29</v>
      </c>
      <c r="AJ52" s="194" t="s">
        <v>41</v>
      </c>
      <c r="AK52" s="192"/>
      <c r="AL52" s="191" t="s">
        <v>14</v>
      </c>
      <c r="AM52" s="191" t="s">
        <v>35</v>
      </c>
      <c r="AN52" s="304" t="s">
        <v>38</v>
      </c>
      <c r="AO52" s="191" t="s">
        <v>32</v>
      </c>
      <c r="AP52" s="191" t="s">
        <v>29</v>
      </c>
      <c r="AQ52" s="302" t="s">
        <v>30</v>
      </c>
      <c r="AR52" s="191" t="s">
        <v>12</v>
      </c>
      <c r="AS52" s="305" t="s">
        <v>40</v>
      </c>
      <c r="AT52" s="292"/>
    </row>
    <row r="53" ht="63" spans="1:46">
      <c r="A53" s="289" t="s">
        <v>67</v>
      </c>
      <c r="B53" s="191" t="s">
        <v>14</v>
      </c>
      <c r="C53" s="191" t="s">
        <v>12</v>
      </c>
      <c r="D53" s="191" t="s">
        <v>32</v>
      </c>
      <c r="E53" s="254" t="s">
        <v>35</v>
      </c>
      <c r="F53" s="209" t="s">
        <v>30</v>
      </c>
      <c r="G53" s="193" t="s">
        <v>33</v>
      </c>
      <c r="H53" s="191" t="s">
        <v>29</v>
      </c>
      <c r="I53" s="194" t="s">
        <v>34</v>
      </c>
      <c r="J53" s="192"/>
      <c r="K53" s="191" t="s">
        <v>32</v>
      </c>
      <c r="L53" s="191" t="s">
        <v>66</v>
      </c>
      <c r="M53" s="303" t="s">
        <v>31</v>
      </c>
      <c r="N53" s="191" t="s">
        <v>12</v>
      </c>
      <c r="O53" s="191" t="s">
        <v>14</v>
      </c>
      <c r="P53" s="306" t="s">
        <v>33</v>
      </c>
      <c r="Q53" s="231" t="s">
        <v>36</v>
      </c>
      <c r="R53" s="194" t="s">
        <v>37</v>
      </c>
      <c r="T53" s="191" t="s">
        <v>29</v>
      </c>
      <c r="U53" s="209" t="s">
        <v>30</v>
      </c>
      <c r="V53" s="206" t="s">
        <v>43</v>
      </c>
      <c r="W53" s="191" t="s">
        <v>26</v>
      </c>
      <c r="X53" s="191" t="s">
        <v>14</v>
      </c>
      <c r="Y53" s="191" t="s">
        <v>32</v>
      </c>
      <c r="Z53" s="191" t="s">
        <v>12</v>
      </c>
      <c r="AA53" s="191" t="s">
        <v>12</v>
      </c>
      <c r="AB53" s="192"/>
      <c r="AC53" s="191" t="s">
        <v>12</v>
      </c>
      <c r="AD53" s="307" t="s">
        <v>38</v>
      </c>
      <c r="AE53" s="191" t="s">
        <v>14</v>
      </c>
      <c r="AF53" s="306" t="s">
        <v>33</v>
      </c>
      <c r="AG53" s="191" t="s">
        <v>29</v>
      </c>
      <c r="AH53" s="191" t="s">
        <v>32</v>
      </c>
      <c r="AI53" s="191" t="s">
        <v>66</v>
      </c>
      <c r="AJ53" s="194" t="s">
        <v>41</v>
      </c>
      <c r="AK53" s="192"/>
      <c r="AL53" s="191" t="s">
        <v>32</v>
      </c>
      <c r="AM53" s="308" t="s">
        <v>39</v>
      </c>
      <c r="AN53" s="191" t="s">
        <v>14</v>
      </c>
      <c r="AO53" s="291" t="s">
        <v>35</v>
      </c>
      <c r="AP53" s="209" t="s">
        <v>30</v>
      </c>
      <c r="AQ53" s="192" t="s">
        <v>12</v>
      </c>
      <c r="AR53" s="191" t="s">
        <v>36</v>
      </c>
      <c r="AS53" s="194" t="s">
        <v>40</v>
      </c>
      <c r="AT53" s="292"/>
    </row>
    <row r="54" ht="63" spans="1:46">
      <c r="A54" s="289" t="s">
        <v>68</v>
      </c>
      <c r="B54" s="191" t="s">
        <v>12</v>
      </c>
      <c r="C54" s="191" t="s">
        <v>32</v>
      </c>
      <c r="D54" s="254" t="s">
        <v>35</v>
      </c>
      <c r="E54" s="304" t="s">
        <v>38</v>
      </c>
      <c r="F54" s="191" t="s">
        <v>14</v>
      </c>
      <c r="G54" s="191" t="s">
        <v>29</v>
      </c>
      <c r="H54" s="196" t="s">
        <v>33</v>
      </c>
      <c r="I54" s="194" t="s">
        <v>34</v>
      </c>
      <c r="J54" s="192"/>
      <c r="K54" s="191" t="s">
        <v>32</v>
      </c>
      <c r="L54" s="191" t="s">
        <v>69</v>
      </c>
      <c r="M54" s="191" t="s">
        <v>29</v>
      </c>
      <c r="N54" s="191" t="s">
        <v>12</v>
      </c>
      <c r="O54" s="191" t="s">
        <v>12</v>
      </c>
      <c r="P54" s="231" t="s">
        <v>36</v>
      </c>
      <c r="Q54" s="231" t="s">
        <v>14</v>
      </c>
      <c r="R54" s="194" t="s">
        <v>37</v>
      </c>
      <c r="T54" s="206" t="s">
        <v>43</v>
      </c>
      <c r="U54" s="191" t="s">
        <v>36</v>
      </c>
      <c r="V54" s="191" t="s">
        <v>12</v>
      </c>
      <c r="W54" s="191" t="s">
        <v>14</v>
      </c>
      <c r="X54" s="191" t="s">
        <v>26</v>
      </c>
      <c r="Y54" s="254" t="s">
        <v>35</v>
      </c>
      <c r="Z54" s="244" t="s">
        <v>30</v>
      </c>
      <c r="AA54" s="191" t="s">
        <v>32</v>
      </c>
      <c r="AC54" s="191" t="s">
        <v>12</v>
      </c>
      <c r="AD54" s="191" t="s">
        <v>14</v>
      </c>
      <c r="AE54" s="244" t="s">
        <v>30</v>
      </c>
      <c r="AF54" s="191" t="s">
        <v>32</v>
      </c>
      <c r="AG54" s="191" t="s">
        <v>69</v>
      </c>
      <c r="AH54" s="303" t="s">
        <v>31</v>
      </c>
      <c r="AI54" s="193" t="s">
        <v>33</v>
      </c>
      <c r="AJ54" s="194" t="s">
        <v>41</v>
      </c>
      <c r="AL54" s="191" t="s">
        <v>14</v>
      </c>
      <c r="AM54" s="191" t="s">
        <v>32</v>
      </c>
      <c r="AN54" s="250" t="s">
        <v>39</v>
      </c>
      <c r="AO54" s="191" t="s">
        <v>29</v>
      </c>
      <c r="AP54" s="244" t="s">
        <v>30</v>
      </c>
      <c r="AQ54" s="193" t="s">
        <v>33</v>
      </c>
      <c r="AR54" s="191" t="s">
        <v>12</v>
      </c>
      <c r="AS54" s="194" t="s">
        <v>40</v>
      </c>
      <c r="AT54" s="292"/>
    </row>
    <row r="55" ht="63" spans="1:46">
      <c r="A55" s="289" t="s">
        <v>70</v>
      </c>
      <c r="B55" s="303" t="s">
        <v>31</v>
      </c>
      <c r="C55" s="191" t="s">
        <v>14</v>
      </c>
      <c r="D55" s="191" t="s">
        <v>12</v>
      </c>
      <c r="E55" s="193" t="s">
        <v>33</v>
      </c>
      <c r="F55" s="192" t="s">
        <v>32</v>
      </c>
      <c r="G55" s="244" t="s">
        <v>30</v>
      </c>
      <c r="H55" s="304" t="s">
        <v>38</v>
      </c>
      <c r="I55" s="194" t="s">
        <v>34</v>
      </c>
      <c r="K55" s="191" t="s">
        <v>12</v>
      </c>
      <c r="L55" s="191" t="s">
        <v>12</v>
      </c>
      <c r="M55" s="291" t="s">
        <v>35</v>
      </c>
      <c r="N55" s="191" t="s">
        <v>32</v>
      </c>
      <c r="O55" s="191" t="s">
        <v>69</v>
      </c>
      <c r="P55" s="231" t="s">
        <v>14</v>
      </c>
      <c r="Q55" s="244" t="s">
        <v>30</v>
      </c>
      <c r="R55" s="194" t="s">
        <v>37</v>
      </c>
      <c r="S55" s="192"/>
      <c r="T55" s="191" t="s">
        <v>14</v>
      </c>
      <c r="U55" s="191" t="s">
        <v>26</v>
      </c>
      <c r="V55" s="212" t="s">
        <v>29</v>
      </c>
      <c r="W55" s="250" t="s">
        <v>39</v>
      </c>
      <c r="X55" s="191" t="s">
        <v>12</v>
      </c>
      <c r="Y55" s="193" t="s">
        <v>33</v>
      </c>
      <c r="Z55" s="191" t="s">
        <v>32</v>
      </c>
      <c r="AA55" s="266" t="s">
        <v>43</v>
      </c>
      <c r="AC55" s="191" t="s">
        <v>32</v>
      </c>
      <c r="AD55" s="191" t="s">
        <v>69</v>
      </c>
      <c r="AE55" s="191" t="s">
        <v>12</v>
      </c>
      <c r="AF55" s="212" t="s">
        <v>29</v>
      </c>
      <c r="AG55" s="191" t="s">
        <v>14</v>
      </c>
      <c r="AH55" s="244" t="s">
        <v>30</v>
      </c>
      <c r="AI55" s="191" t="s">
        <v>36</v>
      </c>
      <c r="AJ55" s="194" t="s">
        <v>41</v>
      </c>
      <c r="AK55" s="191"/>
      <c r="AL55" s="212" t="s">
        <v>29</v>
      </c>
      <c r="AM55" s="254" t="s">
        <v>35</v>
      </c>
      <c r="AN55" s="193" t="s">
        <v>33</v>
      </c>
      <c r="AO55" s="191" t="s">
        <v>14</v>
      </c>
      <c r="AP55" s="191" t="s">
        <v>32</v>
      </c>
      <c r="AQ55" s="191" t="s">
        <v>12</v>
      </c>
      <c r="AR55" s="191" t="s">
        <v>36</v>
      </c>
      <c r="AS55" s="194" t="s">
        <v>40</v>
      </c>
      <c r="AT55" s="292"/>
    </row>
    <row r="56" ht="63" spans="1:46">
      <c r="A56" s="289" t="s">
        <v>71</v>
      </c>
      <c r="B56" s="191" t="s">
        <v>14</v>
      </c>
      <c r="C56" s="191" t="s">
        <v>32</v>
      </c>
      <c r="D56" s="244" t="s">
        <v>30</v>
      </c>
      <c r="E56" s="212" t="s">
        <v>29</v>
      </c>
      <c r="F56" s="191" t="s">
        <v>12</v>
      </c>
      <c r="G56" s="191" t="s">
        <v>33</v>
      </c>
      <c r="H56" s="206" t="s">
        <v>43</v>
      </c>
      <c r="I56" s="194" t="s">
        <v>34</v>
      </c>
      <c r="K56" s="212" t="s">
        <v>29</v>
      </c>
      <c r="L56" s="191" t="s">
        <v>12</v>
      </c>
      <c r="M56" s="191" t="s">
        <v>12</v>
      </c>
      <c r="N56" s="254" t="s">
        <v>35</v>
      </c>
      <c r="O56" s="191" t="s">
        <v>14</v>
      </c>
      <c r="P56" s="191" t="s">
        <v>32</v>
      </c>
      <c r="Q56" s="191" t="s">
        <v>72</v>
      </c>
      <c r="R56" s="194" t="s">
        <v>37</v>
      </c>
      <c r="S56" s="192"/>
      <c r="T56" s="212" t="s">
        <v>29</v>
      </c>
      <c r="U56" s="191" t="s">
        <v>12</v>
      </c>
      <c r="V56" s="191" t="s">
        <v>36</v>
      </c>
      <c r="W56" s="191" t="s">
        <v>14</v>
      </c>
      <c r="X56" s="191" t="s">
        <v>26</v>
      </c>
      <c r="Y56" s="191" t="s">
        <v>32</v>
      </c>
      <c r="Z56" s="254" t="s">
        <v>35</v>
      </c>
      <c r="AA56" s="191" t="s">
        <v>33</v>
      </c>
      <c r="AB56" s="192"/>
      <c r="AC56" s="191" t="s">
        <v>32</v>
      </c>
      <c r="AD56" s="250" t="s">
        <v>39</v>
      </c>
      <c r="AE56" s="304" t="s">
        <v>38</v>
      </c>
      <c r="AF56" s="191" t="s">
        <v>12</v>
      </c>
      <c r="AG56" s="191" t="s">
        <v>14</v>
      </c>
      <c r="AH56" s="191" t="s">
        <v>36</v>
      </c>
      <c r="AI56" s="244" t="s">
        <v>30</v>
      </c>
      <c r="AJ56" s="194" t="s">
        <v>41</v>
      </c>
      <c r="AK56" s="192"/>
      <c r="AL56" s="303" t="s">
        <v>31</v>
      </c>
      <c r="AM56" s="191" t="s">
        <v>33</v>
      </c>
      <c r="AN56" s="191" t="s">
        <v>14</v>
      </c>
      <c r="AO56" s="191" t="s">
        <v>72</v>
      </c>
      <c r="AP56" s="191" t="s">
        <v>32</v>
      </c>
      <c r="AQ56" s="244" t="s">
        <v>30</v>
      </c>
      <c r="AR56" s="191" t="s">
        <v>12</v>
      </c>
      <c r="AS56" s="194" t="s">
        <v>40</v>
      </c>
      <c r="AT56" s="292"/>
    </row>
    <row r="57" ht="63" spans="1:46">
      <c r="A57" s="289" t="s">
        <v>73</v>
      </c>
      <c r="B57" s="191" t="s">
        <v>32</v>
      </c>
      <c r="C57" s="191" t="s">
        <v>36</v>
      </c>
      <c r="D57" s="191" t="s">
        <v>14</v>
      </c>
      <c r="E57" s="191" t="s">
        <v>12</v>
      </c>
      <c r="F57" s="212" t="s">
        <v>29</v>
      </c>
      <c r="G57" s="254" t="s">
        <v>35</v>
      </c>
      <c r="H57" s="191" t="s">
        <v>33</v>
      </c>
      <c r="I57" s="194" t="s">
        <v>34</v>
      </c>
      <c r="J57" s="192"/>
      <c r="K57" s="254" t="s">
        <v>35</v>
      </c>
      <c r="L57" s="191" t="s">
        <v>72</v>
      </c>
      <c r="M57" s="191" t="s">
        <v>32</v>
      </c>
      <c r="N57" s="191" t="s">
        <v>14</v>
      </c>
      <c r="O57" s="191" t="s">
        <v>36</v>
      </c>
      <c r="P57" s="191" t="s">
        <v>12</v>
      </c>
      <c r="Q57" s="191" t="s">
        <v>12</v>
      </c>
      <c r="R57" s="194" t="s">
        <v>37</v>
      </c>
      <c r="S57" s="192"/>
      <c r="T57" s="191" t="s">
        <v>26</v>
      </c>
      <c r="U57" s="191" t="s">
        <v>14</v>
      </c>
      <c r="V57" s="191" t="s">
        <v>12</v>
      </c>
      <c r="W57" s="304" t="s">
        <v>38</v>
      </c>
      <c r="X57" s="244" t="s">
        <v>30</v>
      </c>
      <c r="Y57" s="208" t="s">
        <v>43</v>
      </c>
      <c r="Z57" s="191" t="s">
        <v>32</v>
      </c>
      <c r="AA57" s="303" t="s">
        <v>31</v>
      </c>
      <c r="AB57" s="192"/>
      <c r="AC57" s="191" t="s">
        <v>12</v>
      </c>
      <c r="AD57" s="244" t="s">
        <v>30</v>
      </c>
      <c r="AE57" s="191" t="s">
        <v>14</v>
      </c>
      <c r="AF57" s="191" t="s">
        <v>32</v>
      </c>
      <c r="AG57" s="250" t="s">
        <v>39</v>
      </c>
      <c r="AH57" s="191" t="s">
        <v>33</v>
      </c>
      <c r="AI57" s="212" t="s">
        <v>29</v>
      </c>
      <c r="AJ57" s="194" t="s">
        <v>41</v>
      </c>
      <c r="AK57" s="192"/>
      <c r="AL57" s="191" t="s">
        <v>32</v>
      </c>
      <c r="AM57" s="191" t="s">
        <v>72</v>
      </c>
      <c r="AN57" s="212" t="s">
        <v>29</v>
      </c>
      <c r="AO57" s="191" t="s">
        <v>33</v>
      </c>
      <c r="AP57" s="191" t="s">
        <v>14</v>
      </c>
      <c r="AQ57" s="191" t="s">
        <v>12</v>
      </c>
      <c r="AR57" s="244" t="s">
        <v>30</v>
      </c>
      <c r="AS57" s="194" t="s">
        <v>40</v>
      </c>
      <c r="AT57" s="292"/>
    </row>
    <row r="58" ht="63" spans="1:46">
      <c r="A58" s="289" t="s">
        <v>74</v>
      </c>
      <c r="B58" s="191" t="s">
        <v>33</v>
      </c>
      <c r="C58" s="191" t="s">
        <v>14</v>
      </c>
      <c r="D58" s="206" t="s">
        <v>43</v>
      </c>
      <c r="E58" s="191" t="s">
        <v>12</v>
      </c>
      <c r="F58" s="191" t="s">
        <v>32</v>
      </c>
      <c r="G58" s="304" t="s">
        <v>38</v>
      </c>
      <c r="H58" s="201" t="s">
        <v>30</v>
      </c>
      <c r="I58" s="194" t="s">
        <v>34</v>
      </c>
      <c r="K58" s="191" t="s">
        <v>32</v>
      </c>
      <c r="L58" s="191" t="s">
        <v>75</v>
      </c>
      <c r="M58" s="212" t="s">
        <v>29</v>
      </c>
      <c r="N58" s="191" t="s">
        <v>33</v>
      </c>
      <c r="O58" s="191" t="s">
        <v>14</v>
      </c>
      <c r="P58" s="191" t="s">
        <v>12</v>
      </c>
      <c r="Q58" s="191" t="s">
        <v>12</v>
      </c>
      <c r="R58" s="194" t="s">
        <v>37</v>
      </c>
      <c r="S58" s="192"/>
      <c r="T58" s="204" t="s">
        <v>39</v>
      </c>
      <c r="U58" s="212" t="s">
        <v>29</v>
      </c>
      <c r="V58" s="191" t="s">
        <v>12</v>
      </c>
      <c r="W58" s="191" t="s">
        <v>14</v>
      </c>
      <c r="X58" s="191" t="s">
        <v>26</v>
      </c>
      <c r="Y58" s="191" t="s">
        <v>35</v>
      </c>
      <c r="Z58" s="191" t="s">
        <v>32</v>
      </c>
      <c r="AA58" s="201" t="s">
        <v>30</v>
      </c>
      <c r="AC58" s="191" t="s">
        <v>36</v>
      </c>
      <c r="AD58" s="191" t="s">
        <v>12</v>
      </c>
      <c r="AE58" s="191" t="s">
        <v>32</v>
      </c>
      <c r="AF58" s="191" t="s">
        <v>75</v>
      </c>
      <c r="AG58" s="194" t="s">
        <v>40</v>
      </c>
      <c r="AH58" s="191" t="s">
        <v>14</v>
      </c>
      <c r="AI58" s="191" t="s">
        <v>33</v>
      </c>
      <c r="AJ58" s="194" t="s">
        <v>41</v>
      </c>
      <c r="AL58" s="191" t="s">
        <v>32</v>
      </c>
      <c r="AM58" s="201" t="s">
        <v>30</v>
      </c>
      <c r="AN58" s="191" t="s">
        <v>14</v>
      </c>
      <c r="AO58" s="212" t="s">
        <v>29</v>
      </c>
      <c r="AP58" s="191" t="s">
        <v>35</v>
      </c>
      <c r="AQ58" s="191" t="s">
        <v>36</v>
      </c>
      <c r="AR58" s="303" t="s">
        <v>31</v>
      </c>
      <c r="AS58" s="191" t="s">
        <v>12</v>
      </c>
      <c r="AT58" s="292"/>
    </row>
    <row r="59" ht="63" spans="1:46">
      <c r="A59" s="289" t="s">
        <v>76</v>
      </c>
      <c r="B59" s="191" t="s">
        <v>14</v>
      </c>
      <c r="C59" s="201" t="s">
        <v>30</v>
      </c>
      <c r="D59" s="191" t="s">
        <v>29</v>
      </c>
      <c r="E59" s="191" t="s">
        <v>32</v>
      </c>
      <c r="F59" s="303" t="s">
        <v>31</v>
      </c>
      <c r="G59" s="191" t="s">
        <v>12</v>
      </c>
      <c r="H59" s="205" t="s">
        <v>39</v>
      </c>
      <c r="I59" s="194" t="s">
        <v>34</v>
      </c>
      <c r="K59" s="191" t="s">
        <v>12</v>
      </c>
      <c r="L59" s="191" t="s">
        <v>12</v>
      </c>
      <c r="M59" s="191" t="s">
        <v>29</v>
      </c>
      <c r="N59" s="191" t="s">
        <v>14</v>
      </c>
      <c r="O59" s="191" t="s">
        <v>33</v>
      </c>
      <c r="P59" s="191" t="s">
        <v>32</v>
      </c>
      <c r="Q59" s="191" t="s">
        <v>75</v>
      </c>
      <c r="R59" s="194" t="s">
        <v>37</v>
      </c>
      <c r="S59" s="192"/>
      <c r="T59" s="191" t="s">
        <v>26</v>
      </c>
      <c r="U59" s="191" t="s">
        <v>14</v>
      </c>
      <c r="V59" s="191" t="s">
        <v>29</v>
      </c>
      <c r="W59" s="191" t="s">
        <v>12</v>
      </c>
      <c r="X59" s="192" t="s">
        <v>36</v>
      </c>
      <c r="Y59" s="201" t="s">
        <v>30</v>
      </c>
      <c r="Z59" s="191" t="s">
        <v>33</v>
      </c>
      <c r="AA59" s="191" t="s">
        <v>32</v>
      </c>
      <c r="AB59" s="192"/>
      <c r="AC59" s="191" t="s">
        <v>12</v>
      </c>
      <c r="AD59" s="206" t="s">
        <v>43</v>
      </c>
      <c r="AE59" s="191" t="s">
        <v>14</v>
      </c>
      <c r="AF59" s="191" t="s">
        <v>35</v>
      </c>
      <c r="AG59" s="194" t="s">
        <v>40</v>
      </c>
      <c r="AH59" s="191" t="s">
        <v>32</v>
      </c>
      <c r="AI59" s="191" t="s">
        <v>75</v>
      </c>
      <c r="AJ59" s="194" t="s">
        <v>41</v>
      </c>
      <c r="AL59" s="191" t="s">
        <v>33</v>
      </c>
      <c r="AM59" s="307" t="s">
        <v>38</v>
      </c>
      <c r="AN59" s="191" t="s">
        <v>32</v>
      </c>
      <c r="AO59" s="191" t="s">
        <v>35</v>
      </c>
      <c r="AP59" s="231" t="s">
        <v>14</v>
      </c>
      <c r="AQ59" s="191" t="s">
        <v>12</v>
      </c>
      <c r="AR59" s="201" t="s">
        <v>30</v>
      </c>
      <c r="AS59" s="191" t="s">
        <v>36</v>
      </c>
      <c r="AT59" s="292"/>
    </row>
    <row r="60" ht="63" spans="1:46">
      <c r="A60" s="289" t="s">
        <v>77</v>
      </c>
      <c r="B60" s="191" t="s">
        <v>14</v>
      </c>
      <c r="C60" s="191" t="s">
        <v>29</v>
      </c>
      <c r="D60" s="191" t="s">
        <v>32</v>
      </c>
      <c r="E60" s="191" t="s">
        <v>12</v>
      </c>
      <c r="F60" s="309" t="s">
        <v>30</v>
      </c>
      <c r="G60" s="191" t="s">
        <v>33</v>
      </c>
      <c r="H60" s="191" t="s">
        <v>35</v>
      </c>
      <c r="I60" s="194" t="s">
        <v>34</v>
      </c>
      <c r="J60" s="192"/>
      <c r="K60" s="191" t="s">
        <v>32</v>
      </c>
      <c r="L60" s="191" t="s">
        <v>78</v>
      </c>
      <c r="M60" s="191" t="s">
        <v>14</v>
      </c>
      <c r="N60" s="191" t="s">
        <v>33</v>
      </c>
      <c r="O60" s="191" t="s">
        <v>29</v>
      </c>
      <c r="P60" s="191" t="s">
        <v>12</v>
      </c>
      <c r="Q60" s="191" t="s">
        <v>12</v>
      </c>
      <c r="R60" s="194" t="s">
        <v>37</v>
      </c>
      <c r="S60" s="192"/>
      <c r="T60" s="246" t="s">
        <v>36</v>
      </c>
      <c r="U60" s="304" t="s">
        <v>38</v>
      </c>
      <c r="V60" s="191" t="s">
        <v>12</v>
      </c>
      <c r="W60" s="191" t="s">
        <v>14</v>
      </c>
      <c r="X60" s="191" t="s">
        <v>26</v>
      </c>
      <c r="Y60" s="191" t="s">
        <v>32</v>
      </c>
      <c r="Z60" s="191" t="s">
        <v>33</v>
      </c>
      <c r="AA60" s="191" t="s">
        <v>35</v>
      </c>
      <c r="AB60" s="192"/>
      <c r="AC60" s="191" t="s">
        <v>29</v>
      </c>
      <c r="AD60" s="191" t="s">
        <v>14</v>
      </c>
      <c r="AE60" s="206" t="s">
        <v>43</v>
      </c>
      <c r="AF60" s="191" t="s">
        <v>12</v>
      </c>
      <c r="AG60" s="194" t="s">
        <v>40</v>
      </c>
      <c r="AH60" s="191" t="s">
        <v>32</v>
      </c>
      <c r="AI60" s="310" t="s">
        <v>30</v>
      </c>
      <c r="AJ60" s="194" t="s">
        <v>41</v>
      </c>
      <c r="AK60" s="192"/>
      <c r="AL60" s="205" t="s">
        <v>39</v>
      </c>
      <c r="AM60" s="309" t="s">
        <v>30</v>
      </c>
      <c r="AN60" s="191" t="s">
        <v>14</v>
      </c>
      <c r="AO60" s="191" t="s">
        <v>32</v>
      </c>
      <c r="AP60" s="191" t="s">
        <v>78</v>
      </c>
      <c r="AQ60" s="246" t="s">
        <v>36</v>
      </c>
      <c r="AR60" s="191" t="s">
        <v>12</v>
      </c>
      <c r="AS60" s="303" t="s">
        <v>31</v>
      </c>
      <c r="AT60" s="292"/>
    </row>
    <row r="61" ht="63" spans="1:46">
      <c r="A61" s="289" t="s">
        <v>79</v>
      </c>
      <c r="B61" s="191" t="s">
        <v>35</v>
      </c>
      <c r="C61" s="191" t="s">
        <v>33</v>
      </c>
      <c r="D61" s="191" t="s">
        <v>14</v>
      </c>
      <c r="E61" s="290" t="s">
        <v>36</v>
      </c>
      <c r="F61" s="191" t="s">
        <v>12</v>
      </c>
      <c r="G61" s="191" t="s">
        <v>29</v>
      </c>
      <c r="H61" s="231" t="s">
        <v>32</v>
      </c>
      <c r="I61" s="194" t="s">
        <v>34</v>
      </c>
      <c r="K61" s="303" t="s">
        <v>31</v>
      </c>
      <c r="L61" s="191" t="s">
        <v>12</v>
      </c>
      <c r="M61" s="191" t="s">
        <v>12</v>
      </c>
      <c r="N61" s="191" t="s">
        <v>32</v>
      </c>
      <c r="O61" s="191" t="s">
        <v>78</v>
      </c>
      <c r="P61" s="309" t="s">
        <v>30</v>
      </c>
      <c r="Q61" s="191" t="s">
        <v>14</v>
      </c>
      <c r="R61" s="194" t="s">
        <v>37</v>
      </c>
      <c r="S61" s="192"/>
      <c r="T61" s="191" t="s">
        <v>14</v>
      </c>
      <c r="U61" s="191" t="s">
        <v>26</v>
      </c>
      <c r="V61" s="205" t="s">
        <v>39</v>
      </c>
      <c r="W61" s="191" t="s">
        <v>29</v>
      </c>
      <c r="X61" s="191" t="s">
        <v>12</v>
      </c>
      <c r="Y61" s="192" t="s">
        <v>33</v>
      </c>
      <c r="Z61" s="191" t="s">
        <v>35</v>
      </c>
      <c r="AA61" s="191" t="s">
        <v>32</v>
      </c>
      <c r="AB61" s="192"/>
      <c r="AC61" s="191" t="s">
        <v>12</v>
      </c>
      <c r="AD61" s="309" t="s">
        <v>30</v>
      </c>
      <c r="AE61" s="246" t="s">
        <v>36</v>
      </c>
      <c r="AF61" s="191" t="s">
        <v>14</v>
      </c>
      <c r="AG61" s="194" t="s">
        <v>40</v>
      </c>
      <c r="AH61" s="191" t="s">
        <v>33</v>
      </c>
      <c r="AI61" s="191" t="s">
        <v>32</v>
      </c>
      <c r="AJ61" s="194" t="s">
        <v>41</v>
      </c>
      <c r="AK61" s="311"/>
      <c r="AL61" s="191" t="s">
        <v>32</v>
      </c>
      <c r="AM61" s="191" t="s">
        <v>78</v>
      </c>
      <c r="AN61" s="206" t="s">
        <v>43</v>
      </c>
      <c r="AO61" s="309" t="s">
        <v>30</v>
      </c>
      <c r="AP61" s="304" t="s">
        <v>38</v>
      </c>
      <c r="AQ61" s="191" t="s">
        <v>14</v>
      </c>
      <c r="AR61" s="191" t="s">
        <v>29</v>
      </c>
      <c r="AS61" s="191" t="s">
        <v>12</v>
      </c>
      <c r="AT61" s="292"/>
    </row>
    <row r="62" ht="63" spans="1:46">
      <c r="A62" s="289" t="s">
        <v>80</v>
      </c>
      <c r="B62" s="191" t="s">
        <v>33</v>
      </c>
      <c r="C62" s="191" t="s">
        <v>12</v>
      </c>
      <c r="D62" s="304" t="s">
        <v>38</v>
      </c>
      <c r="E62" s="191" t="s">
        <v>14</v>
      </c>
      <c r="F62" s="246" t="s">
        <v>36</v>
      </c>
      <c r="G62" s="206" t="s">
        <v>43</v>
      </c>
      <c r="H62" s="191" t="s">
        <v>32</v>
      </c>
      <c r="I62" s="194" t="s">
        <v>34</v>
      </c>
      <c r="K62" s="191" t="s">
        <v>12</v>
      </c>
      <c r="L62" s="191" t="s">
        <v>12</v>
      </c>
      <c r="M62" s="231" t="s">
        <v>33</v>
      </c>
      <c r="N62" s="191" t="s">
        <v>32</v>
      </c>
      <c r="O62" s="191" t="s">
        <v>81</v>
      </c>
      <c r="P62" s="231" t="s">
        <v>14</v>
      </c>
      <c r="Q62" s="191" t="s">
        <v>35</v>
      </c>
      <c r="R62" s="194" t="s">
        <v>37</v>
      </c>
      <c r="S62" s="192"/>
      <c r="T62" s="191" t="s">
        <v>14</v>
      </c>
      <c r="U62" s="191" t="s">
        <v>26</v>
      </c>
      <c r="V62" s="191" t="s">
        <v>12</v>
      </c>
      <c r="W62" s="309" t="s">
        <v>30</v>
      </c>
      <c r="X62" s="231" t="s">
        <v>29</v>
      </c>
      <c r="Y62" s="191" t="s">
        <v>32</v>
      </c>
      <c r="Z62" s="290" t="s">
        <v>36</v>
      </c>
      <c r="AA62" s="263" t="s">
        <v>39</v>
      </c>
      <c r="AC62" s="191" t="s">
        <v>35</v>
      </c>
      <c r="AD62" s="191" t="s">
        <v>32</v>
      </c>
      <c r="AE62" s="309" t="s">
        <v>30</v>
      </c>
      <c r="AF62" s="191" t="s">
        <v>12</v>
      </c>
      <c r="AG62" s="194" t="s">
        <v>40</v>
      </c>
      <c r="AH62" s="191" t="s">
        <v>14</v>
      </c>
      <c r="AI62" s="192" t="s">
        <v>29</v>
      </c>
      <c r="AJ62" s="194" t="s">
        <v>41</v>
      </c>
      <c r="AL62" s="191" t="s">
        <v>33</v>
      </c>
      <c r="AM62" s="303" t="s">
        <v>31</v>
      </c>
      <c r="AN62" s="191" t="s">
        <v>14</v>
      </c>
      <c r="AO62" s="191" t="s">
        <v>32</v>
      </c>
      <c r="AP62" s="191" t="s">
        <v>81</v>
      </c>
      <c r="AQ62" s="309" t="s">
        <v>30</v>
      </c>
      <c r="AR62" s="191" t="s">
        <v>12</v>
      </c>
      <c r="AS62" s="191" t="s">
        <v>29</v>
      </c>
      <c r="AT62" s="292"/>
    </row>
    <row r="63" ht="63.75" spans="1:46">
      <c r="A63" s="312" t="s">
        <v>82</v>
      </c>
      <c r="B63" s="213" t="s">
        <v>32</v>
      </c>
      <c r="C63" s="313" t="s">
        <v>39</v>
      </c>
      <c r="D63" s="213" t="s">
        <v>35</v>
      </c>
      <c r="E63" s="314" t="s">
        <v>30</v>
      </c>
      <c r="F63" s="213" t="s">
        <v>14</v>
      </c>
      <c r="G63" s="213" t="s">
        <v>12</v>
      </c>
      <c r="H63" s="315" t="s">
        <v>31</v>
      </c>
      <c r="I63" s="217" t="s">
        <v>34</v>
      </c>
      <c r="J63" s="214"/>
      <c r="K63" s="213" t="s">
        <v>32</v>
      </c>
      <c r="L63" s="213" t="s">
        <v>81</v>
      </c>
      <c r="M63" s="316" t="s">
        <v>14</v>
      </c>
      <c r="N63" s="213" t="s">
        <v>12</v>
      </c>
      <c r="O63" s="213" t="s">
        <v>12</v>
      </c>
      <c r="P63" s="317" t="s">
        <v>33</v>
      </c>
      <c r="Q63" s="213" t="s">
        <v>29</v>
      </c>
      <c r="R63" s="217" t="s">
        <v>37</v>
      </c>
      <c r="S63" s="214"/>
      <c r="T63" s="213" t="s">
        <v>29</v>
      </c>
      <c r="U63" s="213" t="s">
        <v>12</v>
      </c>
      <c r="V63" s="318" t="s">
        <v>36</v>
      </c>
      <c r="W63" s="213" t="s">
        <v>14</v>
      </c>
      <c r="X63" s="213" t="s">
        <v>26</v>
      </c>
      <c r="Y63" s="319" t="s">
        <v>38</v>
      </c>
      <c r="Z63" s="314" t="s">
        <v>30</v>
      </c>
      <c r="AA63" s="213" t="s">
        <v>32</v>
      </c>
      <c r="AC63" s="213" t="s">
        <v>12</v>
      </c>
      <c r="AD63" s="213" t="s">
        <v>33</v>
      </c>
      <c r="AE63" s="213" t="s">
        <v>32</v>
      </c>
      <c r="AF63" s="317" t="s">
        <v>14</v>
      </c>
      <c r="AG63" s="217" t="s">
        <v>40</v>
      </c>
      <c r="AH63" s="314" t="s">
        <v>30</v>
      </c>
      <c r="AI63" s="320" t="s">
        <v>43</v>
      </c>
      <c r="AJ63" s="217" t="s">
        <v>41</v>
      </c>
      <c r="AK63" s="214"/>
      <c r="AL63" s="213" t="s">
        <v>32</v>
      </c>
      <c r="AM63" s="213" t="s">
        <v>81</v>
      </c>
      <c r="AN63" s="213" t="s">
        <v>33</v>
      </c>
      <c r="AO63" s="213" t="s">
        <v>29</v>
      </c>
      <c r="AP63" s="213" t="s">
        <v>14</v>
      </c>
      <c r="AQ63" s="213" t="s">
        <v>12</v>
      </c>
      <c r="AR63" s="318" t="s">
        <v>36</v>
      </c>
      <c r="AS63" s="213" t="s">
        <v>35</v>
      </c>
      <c r="AT63" s="321"/>
    </row>
  </sheetData>
  <mergeCells count="16">
    <mergeCell ref="A1:AT1"/>
    <mergeCell ref="B2:J2"/>
    <mergeCell ref="K2:S2"/>
    <mergeCell ref="T2:AB2"/>
    <mergeCell ref="AC2:AK2"/>
    <mergeCell ref="AL2:AT2"/>
    <mergeCell ref="B3:F3"/>
    <mergeCell ref="G3:J3"/>
    <mergeCell ref="K3:O3"/>
    <mergeCell ref="P3:S3"/>
    <mergeCell ref="T3:X3"/>
    <mergeCell ref="Y3:AB3"/>
    <mergeCell ref="AC3:AG3"/>
    <mergeCell ref="AH3:AK3"/>
    <mergeCell ref="AL3:AP3"/>
    <mergeCell ref="AQ3:AT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4"/>
  <sheetViews>
    <sheetView topLeftCell="A41" workbookViewId="0">
      <selection activeCell="BK19" sqref="BK19"/>
    </sheetView>
  </sheetViews>
  <sheetFormatPr defaultColWidth="9" defaultRowHeight="13.5"/>
  <sheetData>
    <row r="1" ht="22.5" spans="1:23">
      <c r="A1" s="71" t="s">
        <v>172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3"/>
    </row>
    <row r="2" ht="14.25" spans="1:23">
      <c r="A2" s="74" t="s">
        <v>173</v>
      </c>
      <c r="B2" s="75" t="s">
        <v>174</v>
      </c>
      <c r="C2" s="75" t="s">
        <v>13</v>
      </c>
      <c r="D2" s="75" t="s">
        <v>175</v>
      </c>
      <c r="E2" s="75" t="s">
        <v>176</v>
      </c>
      <c r="F2" s="76" t="s">
        <v>15</v>
      </c>
      <c r="G2" s="77" t="s">
        <v>16</v>
      </c>
      <c r="H2" s="78" t="s">
        <v>177</v>
      </c>
      <c r="I2" s="75" t="s">
        <v>19</v>
      </c>
      <c r="J2" s="75" t="s">
        <v>20</v>
      </c>
      <c r="K2" s="75" t="s">
        <v>21</v>
      </c>
      <c r="L2" s="75" t="s">
        <v>22</v>
      </c>
      <c r="M2" s="79" t="s">
        <v>178</v>
      </c>
      <c r="N2" s="80" t="s">
        <v>179</v>
      </c>
      <c r="O2" s="80" t="s">
        <v>180</v>
      </c>
      <c r="P2" s="81" t="s">
        <v>25</v>
      </c>
      <c r="Q2" s="82"/>
      <c r="R2" s="83"/>
      <c r="S2" s="84"/>
      <c r="T2" s="85"/>
      <c r="U2" s="86" t="s">
        <v>181</v>
      </c>
      <c r="V2" s="87" t="s">
        <v>182</v>
      </c>
      <c r="W2" s="73"/>
    </row>
    <row r="3" ht="14.25" spans="1:23">
      <c r="A3" s="75">
        <v>1</v>
      </c>
      <c r="B3" s="85" t="s">
        <v>183</v>
      </c>
      <c r="C3" s="85" t="s">
        <v>184</v>
      </c>
      <c r="D3" s="88" t="s">
        <v>185</v>
      </c>
      <c r="E3" s="88" t="s">
        <v>186</v>
      </c>
      <c r="F3" s="89" t="s">
        <v>187</v>
      </c>
      <c r="G3" s="90" t="s">
        <v>188</v>
      </c>
      <c r="H3" s="85" t="s">
        <v>189</v>
      </c>
      <c r="I3" s="88" t="s">
        <v>190</v>
      </c>
      <c r="J3" s="85" t="s">
        <v>191</v>
      </c>
      <c r="K3" s="88" t="s">
        <v>192</v>
      </c>
      <c r="L3" s="91" t="s">
        <v>193</v>
      </c>
      <c r="M3" s="90" t="s">
        <v>187</v>
      </c>
      <c r="N3" s="85" t="s">
        <v>184</v>
      </c>
      <c r="O3" s="88" t="s">
        <v>185</v>
      </c>
      <c r="P3" s="92" t="s">
        <v>188</v>
      </c>
      <c r="Q3" s="82"/>
      <c r="R3" s="93"/>
      <c r="S3" s="94"/>
      <c r="T3" s="82"/>
      <c r="U3" s="90" t="s">
        <v>187</v>
      </c>
      <c r="V3" s="95"/>
      <c r="W3" s="73"/>
    </row>
    <row r="4" ht="14.25" spans="1:23">
      <c r="A4" s="75">
        <v>2</v>
      </c>
      <c r="B4" s="85" t="s">
        <v>183</v>
      </c>
      <c r="C4" s="85" t="s">
        <v>184</v>
      </c>
      <c r="D4" s="88" t="s">
        <v>185</v>
      </c>
      <c r="E4" s="88" t="s">
        <v>194</v>
      </c>
      <c r="F4" s="89" t="s">
        <v>187</v>
      </c>
      <c r="G4" s="90" t="s">
        <v>188</v>
      </c>
      <c r="H4" s="85" t="s">
        <v>189</v>
      </c>
      <c r="I4" s="88" t="s">
        <v>190</v>
      </c>
      <c r="J4" s="85" t="s">
        <v>191</v>
      </c>
      <c r="K4" s="88" t="s">
        <v>192</v>
      </c>
      <c r="L4" s="91" t="s">
        <v>193</v>
      </c>
      <c r="M4" s="96" t="s">
        <v>185</v>
      </c>
      <c r="N4" s="85" t="s">
        <v>184</v>
      </c>
      <c r="O4" s="88" t="s">
        <v>185</v>
      </c>
      <c r="P4" s="92" t="s">
        <v>188</v>
      </c>
      <c r="Q4" s="82"/>
      <c r="R4" s="93"/>
      <c r="S4" s="94"/>
      <c r="T4" s="82"/>
      <c r="U4" s="96" t="s">
        <v>185</v>
      </c>
      <c r="V4" s="95"/>
      <c r="W4" s="73"/>
    </row>
    <row r="5" ht="14.25" spans="1:23">
      <c r="A5" s="75">
        <v>3</v>
      </c>
      <c r="B5" s="88" t="s">
        <v>195</v>
      </c>
      <c r="C5" s="88" t="s">
        <v>196</v>
      </c>
      <c r="D5" s="88" t="s">
        <v>197</v>
      </c>
      <c r="E5" s="88" t="s">
        <v>198</v>
      </c>
      <c r="F5" s="89" t="s">
        <v>187</v>
      </c>
      <c r="G5" s="90" t="s">
        <v>188</v>
      </c>
      <c r="H5" s="85" t="s">
        <v>189</v>
      </c>
      <c r="I5" s="88" t="s">
        <v>190</v>
      </c>
      <c r="J5" s="85" t="s">
        <v>191</v>
      </c>
      <c r="K5" s="88" t="s">
        <v>192</v>
      </c>
      <c r="L5" s="91" t="s">
        <v>193</v>
      </c>
      <c r="M5" s="88" t="s">
        <v>198</v>
      </c>
      <c r="N5" s="88" t="s">
        <v>196</v>
      </c>
      <c r="O5" s="88" t="s">
        <v>197</v>
      </c>
      <c r="P5" s="92" t="s">
        <v>188</v>
      </c>
      <c r="Q5" s="82"/>
      <c r="R5" s="93"/>
      <c r="S5" s="94"/>
      <c r="T5" s="82"/>
      <c r="U5" s="88" t="s">
        <v>198</v>
      </c>
      <c r="V5" s="95"/>
      <c r="W5" s="73"/>
    </row>
    <row r="6" ht="14.25" spans="1:23">
      <c r="A6" s="75">
        <v>4</v>
      </c>
      <c r="B6" s="88" t="s">
        <v>195</v>
      </c>
      <c r="C6" s="88" t="s">
        <v>196</v>
      </c>
      <c r="D6" s="88" t="s">
        <v>197</v>
      </c>
      <c r="E6" s="88" t="s">
        <v>194</v>
      </c>
      <c r="F6" s="85" t="s">
        <v>199</v>
      </c>
      <c r="G6" s="90" t="s">
        <v>188</v>
      </c>
      <c r="H6" s="90" t="s">
        <v>200</v>
      </c>
      <c r="I6" s="88" t="s">
        <v>201</v>
      </c>
      <c r="J6" s="85" t="s">
        <v>191</v>
      </c>
      <c r="K6" s="88" t="s">
        <v>192</v>
      </c>
      <c r="L6" s="91" t="s">
        <v>193</v>
      </c>
      <c r="M6" s="88" t="s">
        <v>196</v>
      </c>
      <c r="N6" s="88" t="s">
        <v>196</v>
      </c>
      <c r="O6" s="88" t="s">
        <v>197</v>
      </c>
      <c r="P6" s="92" t="s">
        <v>188</v>
      </c>
      <c r="Q6" s="82"/>
      <c r="R6" s="93"/>
      <c r="S6" s="94"/>
      <c r="T6" s="82"/>
      <c r="U6" s="88" t="s">
        <v>196</v>
      </c>
      <c r="V6" s="95"/>
      <c r="W6" s="73"/>
    </row>
    <row r="7" ht="14.25" spans="1:23">
      <c r="A7" s="75">
        <v>5</v>
      </c>
      <c r="B7" s="88" t="s">
        <v>202</v>
      </c>
      <c r="C7" s="97" t="s">
        <v>203</v>
      </c>
      <c r="D7" s="85" t="s">
        <v>204</v>
      </c>
      <c r="E7" s="88" t="s">
        <v>186</v>
      </c>
      <c r="F7" s="85" t="s">
        <v>199</v>
      </c>
      <c r="G7" s="90" t="s">
        <v>205</v>
      </c>
      <c r="H7" s="90" t="s">
        <v>200</v>
      </c>
      <c r="I7" s="88" t="s">
        <v>201</v>
      </c>
      <c r="J7" s="85" t="s">
        <v>191</v>
      </c>
      <c r="K7" s="88" t="s">
        <v>192</v>
      </c>
      <c r="L7" s="88" t="s">
        <v>206</v>
      </c>
      <c r="M7" s="88" t="s">
        <v>186</v>
      </c>
      <c r="N7" s="97" t="s">
        <v>203</v>
      </c>
      <c r="O7" s="85" t="s">
        <v>204</v>
      </c>
      <c r="P7" s="92" t="s">
        <v>205</v>
      </c>
      <c r="Q7" s="82"/>
      <c r="R7" s="93"/>
      <c r="S7" s="94"/>
      <c r="T7" s="82"/>
      <c r="U7" s="88" t="s">
        <v>186</v>
      </c>
      <c r="V7" s="98"/>
      <c r="W7" s="85"/>
    </row>
    <row r="8" ht="14.25" spans="1:23">
      <c r="A8" s="75">
        <v>6</v>
      </c>
      <c r="B8" s="88" t="s">
        <v>202</v>
      </c>
      <c r="C8" s="97" t="s">
        <v>203</v>
      </c>
      <c r="D8" s="85" t="s">
        <v>204</v>
      </c>
      <c r="E8" s="85" t="s">
        <v>207</v>
      </c>
      <c r="F8" s="85" t="s">
        <v>199</v>
      </c>
      <c r="G8" s="90" t="s">
        <v>205</v>
      </c>
      <c r="H8" s="85" t="s">
        <v>208</v>
      </c>
      <c r="I8" s="88" t="s">
        <v>209</v>
      </c>
      <c r="J8" s="85" t="s">
        <v>191</v>
      </c>
      <c r="K8" s="88" t="s">
        <v>192</v>
      </c>
      <c r="L8" s="88" t="s">
        <v>206</v>
      </c>
      <c r="M8" s="85" t="s">
        <v>208</v>
      </c>
      <c r="N8" s="97" t="s">
        <v>203</v>
      </c>
      <c r="O8" s="85" t="s">
        <v>204</v>
      </c>
      <c r="P8" s="92" t="s">
        <v>205</v>
      </c>
      <c r="Q8" s="82"/>
      <c r="R8" s="93"/>
      <c r="S8" s="94"/>
      <c r="T8" s="97"/>
      <c r="U8" s="85" t="s">
        <v>208</v>
      </c>
      <c r="V8" s="95"/>
      <c r="W8" s="73"/>
    </row>
    <row r="9" ht="14.25" spans="1:23">
      <c r="A9" s="75">
        <v>7</v>
      </c>
      <c r="B9" s="97" t="s">
        <v>210</v>
      </c>
      <c r="C9" s="99" t="s">
        <v>211</v>
      </c>
      <c r="D9" s="88" t="s">
        <v>212</v>
      </c>
      <c r="E9" s="85" t="s">
        <v>207</v>
      </c>
      <c r="F9" s="85" t="s">
        <v>199</v>
      </c>
      <c r="G9" s="90" t="s">
        <v>205</v>
      </c>
      <c r="H9" s="85" t="s">
        <v>208</v>
      </c>
      <c r="I9" s="88" t="s">
        <v>209</v>
      </c>
      <c r="J9" s="85" t="s">
        <v>191</v>
      </c>
      <c r="K9" s="85" t="s">
        <v>213</v>
      </c>
      <c r="L9" s="88" t="s">
        <v>206</v>
      </c>
      <c r="M9" s="85" t="s">
        <v>207</v>
      </c>
      <c r="N9" s="99" t="s">
        <v>211</v>
      </c>
      <c r="O9" s="88" t="s">
        <v>212</v>
      </c>
      <c r="P9" s="92" t="s">
        <v>205</v>
      </c>
      <c r="Q9" s="82"/>
      <c r="R9" s="93"/>
      <c r="S9" s="94"/>
      <c r="T9" s="82"/>
      <c r="U9" s="85" t="s">
        <v>207</v>
      </c>
      <c r="V9" s="95"/>
      <c r="W9" s="73"/>
    </row>
    <row r="10" ht="14.25" spans="1:23">
      <c r="A10" s="75">
        <v>8</v>
      </c>
      <c r="B10" s="97" t="s">
        <v>210</v>
      </c>
      <c r="C10" s="100" t="s">
        <v>214</v>
      </c>
      <c r="D10" s="88" t="s">
        <v>212</v>
      </c>
      <c r="E10" s="88" t="s">
        <v>198</v>
      </c>
      <c r="F10" s="100" t="s">
        <v>215</v>
      </c>
      <c r="G10" s="90" t="s">
        <v>205</v>
      </c>
      <c r="H10" s="85" t="s">
        <v>216</v>
      </c>
      <c r="I10" s="101" t="s">
        <v>217</v>
      </c>
      <c r="J10" s="85" t="s">
        <v>191</v>
      </c>
      <c r="K10" s="85" t="s">
        <v>213</v>
      </c>
      <c r="L10" s="88" t="s">
        <v>206</v>
      </c>
      <c r="M10" s="96" t="s">
        <v>218</v>
      </c>
      <c r="N10" s="100" t="s">
        <v>214</v>
      </c>
      <c r="O10" s="88" t="s">
        <v>212</v>
      </c>
      <c r="P10" s="92" t="s">
        <v>205</v>
      </c>
      <c r="Q10" s="82"/>
      <c r="R10" s="93"/>
      <c r="S10" s="94"/>
      <c r="T10" s="82"/>
      <c r="U10" s="96" t="s">
        <v>218</v>
      </c>
      <c r="V10" s="95"/>
      <c r="W10" s="73"/>
    </row>
    <row r="11" ht="14.25" spans="1:23">
      <c r="A11" s="75">
        <v>9</v>
      </c>
      <c r="B11" s="85" t="s">
        <v>219</v>
      </c>
      <c r="C11" s="88" t="s">
        <v>220</v>
      </c>
      <c r="D11" s="88" t="s">
        <v>221</v>
      </c>
      <c r="E11" s="88" t="s">
        <v>222</v>
      </c>
      <c r="F11" s="100" t="s">
        <v>215</v>
      </c>
      <c r="G11" s="90" t="s">
        <v>223</v>
      </c>
      <c r="H11" s="85" t="s">
        <v>216</v>
      </c>
      <c r="I11" s="101" t="s">
        <v>217</v>
      </c>
      <c r="J11" s="85" t="s">
        <v>191</v>
      </c>
      <c r="K11" s="85" t="s">
        <v>213</v>
      </c>
      <c r="L11" s="88" t="s">
        <v>206</v>
      </c>
      <c r="M11" s="88" t="s">
        <v>221</v>
      </c>
      <c r="N11" s="88" t="s">
        <v>220</v>
      </c>
      <c r="O11" s="88" t="s">
        <v>221</v>
      </c>
      <c r="P11" s="92" t="s">
        <v>223</v>
      </c>
      <c r="Q11" s="82"/>
      <c r="R11" s="93"/>
      <c r="S11" s="94"/>
      <c r="T11" s="82"/>
      <c r="U11" s="88" t="s">
        <v>221</v>
      </c>
      <c r="V11" s="95"/>
      <c r="W11" s="73"/>
    </row>
    <row r="12" ht="14.25" spans="1:23">
      <c r="A12" s="75">
        <v>10</v>
      </c>
      <c r="B12" s="85" t="s">
        <v>219</v>
      </c>
      <c r="C12" s="88" t="s">
        <v>220</v>
      </c>
      <c r="D12" s="88" t="s">
        <v>221</v>
      </c>
      <c r="E12" s="89" t="s">
        <v>222</v>
      </c>
      <c r="F12" s="100" t="s">
        <v>215</v>
      </c>
      <c r="G12" s="90" t="s">
        <v>223</v>
      </c>
      <c r="H12" s="85" t="s">
        <v>224</v>
      </c>
      <c r="I12" s="101" t="s">
        <v>217</v>
      </c>
      <c r="J12" s="85" t="s">
        <v>191</v>
      </c>
      <c r="K12" s="85" t="s">
        <v>213</v>
      </c>
      <c r="L12" s="88" t="s">
        <v>206</v>
      </c>
      <c r="M12" s="88" t="s">
        <v>220</v>
      </c>
      <c r="N12" s="88" t="s">
        <v>220</v>
      </c>
      <c r="O12" s="88" t="s">
        <v>221</v>
      </c>
      <c r="P12" s="92" t="s">
        <v>223</v>
      </c>
      <c r="Q12" s="82"/>
      <c r="R12" s="93"/>
      <c r="S12" s="94"/>
      <c r="T12" s="82"/>
      <c r="U12" s="88" t="s">
        <v>220</v>
      </c>
      <c r="V12" s="95"/>
      <c r="W12" s="73"/>
    </row>
    <row r="13" ht="14.25" spans="1:23">
      <c r="A13" s="75">
        <v>11</v>
      </c>
      <c r="B13" s="97" t="s">
        <v>225</v>
      </c>
      <c r="C13" s="88" t="s">
        <v>226</v>
      </c>
      <c r="D13" s="85" t="s">
        <v>227</v>
      </c>
      <c r="E13" s="88" t="s">
        <v>228</v>
      </c>
      <c r="F13" s="89" t="s">
        <v>229</v>
      </c>
      <c r="G13" s="90" t="s">
        <v>230</v>
      </c>
      <c r="H13" s="85" t="s">
        <v>224</v>
      </c>
      <c r="I13" s="88" t="s">
        <v>231</v>
      </c>
      <c r="J13" s="85" t="s">
        <v>232</v>
      </c>
      <c r="K13" s="85" t="s">
        <v>213</v>
      </c>
      <c r="L13" s="88" t="s">
        <v>206</v>
      </c>
      <c r="M13" s="96" t="s">
        <v>229</v>
      </c>
      <c r="N13" s="88" t="s">
        <v>226</v>
      </c>
      <c r="O13" s="85" t="s">
        <v>227</v>
      </c>
      <c r="P13" s="92" t="s">
        <v>230</v>
      </c>
      <c r="Q13" s="82"/>
      <c r="R13" s="93"/>
      <c r="S13" s="94"/>
      <c r="T13" s="82"/>
      <c r="U13" s="96" t="s">
        <v>229</v>
      </c>
      <c r="V13" s="95"/>
      <c r="W13" s="73"/>
    </row>
    <row r="14" ht="14.25" spans="1:23">
      <c r="A14" s="75">
        <v>12</v>
      </c>
      <c r="B14" s="97" t="s">
        <v>225</v>
      </c>
      <c r="C14" s="88" t="s">
        <v>226</v>
      </c>
      <c r="D14" s="85" t="s">
        <v>227</v>
      </c>
      <c r="E14" s="88" t="s">
        <v>233</v>
      </c>
      <c r="F14" s="100" t="s">
        <v>215</v>
      </c>
      <c r="G14" s="90" t="s">
        <v>223</v>
      </c>
      <c r="H14" s="85" t="s">
        <v>234</v>
      </c>
      <c r="I14" s="88" t="s">
        <v>231</v>
      </c>
      <c r="J14" s="85" t="s">
        <v>232</v>
      </c>
      <c r="K14" s="85" t="s">
        <v>213</v>
      </c>
      <c r="L14" s="88" t="s">
        <v>206</v>
      </c>
      <c r="M14" s="90" t="s">
        <v>223</v>
      </c>
      <c r="N14" s="88" t="s">
        <v>226</v>
      </c>
      <c r="O14" s="85" t="s">
        <v>227</v>
      </c>
      <c r="P14" s="92" t="s">
        <v>223</v>
      </c>
      <c r="Q14" s="82"/>
      <c r="R14" s="93"/>
      <c r="S14" s="94"/>
      <c r="T14" s="82"/>
      <c r="U14" s="90" t="s">
        <v>223</v>
      </c>
      <c r="V14" s="95"/>
      <c r="W14" s="73"/>
    </row>
    <row r="15" ht="14.25" spans="1:23">
      <c r="A15" s="75">
        <v>13</v>
      </c>
      <c r="B15" s="88" t="s">
        <v>235</v>
      </c>
      <c r="C15" s="88" t="s">
        <v>236</v>
      </c>
      <c r="D15" s="97" t="s">
        <v>237</v>
      </c>
      <c r="E15" s="88" t="s">
        <v>228</v>
      </c>
      <c r="F15" s="102" t="s">
        <v>229</v>
      </c>
      <c r="G15" s="90" t="s">
        <v>230</v>
      </c>
      <c r="H15" s="85" t="s">
        <v>234</v>
      </c>
      <c r="I15" s="103" t="s">
        <v>238</v>
      </c>
      <c r="J15" s="85" t="s">
        <v>232</v>
      </c>
      <c r="K15" s="85" t="s">
        <v>213</v>
      </c>
      <c r="L15" s="88" t="s">
        <v>206</v>
      </c>
      <c r="M15" s="88" t="s">
        <v>235</v>
      </c>
      <c r="N15" s="88" t="s">
        <v>236</v>
      </c>
      <c r="O15" s="97" t="s">
        <v>237</v>
      </c>
      <c r="P15" s="92" t="s">
        <v>230</v>
      </c>
      <c r="Q15" s="82"/>
      <c r="R15" s="93"/>
      <c r="S15" s="85"/>
      <c r="T15" s="104"/>
      <c r="U15" s="88" t="s">
        <v>235</v>
      </c>
      <c r="V15" s="95"/>
      <c r="W15" s="73"/>
    </row>
    <row r="16" ht="14.25" spans="1:23">
      <c r="A16" s="75">
        <v>14</v>
      </c>
      <c r="B16" s="88" t="s">
        <v>235</v>
      </c>
      <c r="C16" s="88" t="s">
        <v>236</v>
      </c>
      <c r="D16" s="85" t="s">
        <v>239</v>
      </c>
      <c r="E16" s="89" t="s">
        <v>233</v>
      </c>
      <c r="F16" s="90" t="s">
        <v>229</v>
      </c>
      <c r="G16" s="90" t="s">
        <v>230</v>
      </c>
      <c r="H16" s="85" t="s">
        <v>240</v>
      </c>
      <c r="I16" s="103" t="s">
        <v>238</v>
      </c>
      <c r="J16" s="85" t="s">
        <v>232</v>
      </c>
      <c r="K16" s="85" t="s">
        <v>213</v>
      </c>
      <c r="L16" s="88" t="s">
        <v>206</v>
      </c>
      <c r="M16" s="88" t="s">
        <v>233</v>
      </c>
      <c r="N16" s="88" t="s">
        <v>236</v>
      </c>
      <c r="O16" s="85" t="s">
        <v>239</v>
      </c>
      <c r="P16" s="92" t="s">
        <v>230</v>
      </c>
      <c r="Q16" s="82"/>
      <c r="R16" s="105"/>
      <c r="S16" s="106"/>
      <c r="T16" s="82"/>
      <c r="U16" s="88" t="s">
        <v>233</v>
      </c>
      <c r="V16" s="95"/>
      <c r="W16" s="73"/>
    </row>
    <row r="17" ht="14.25" spans="1:23">
      <c r="A17" s="75" t="s">
        <v>241</v>
      </c>
      <c r="B17" s="88" t="s">
        <v>195</v>
      </c>
      <c r="C17" s="88" t="s">
        <v>236</v>
      </c>
      <c r="D17" s="85" t="s">
        <v>227</v>
      </c>
      <c r="E17" s="88" t="s">
        <v>228</v>
      </c>
      <c r="F17" s="85" t="s">
        <v>199</v>
      </c>
      <c r="G17" s="90" t="s">
        <v>230</v>
      </c>
      <c r="H17" s="85" t="s">
        <v>234</v>
      </c>
      <c r="I17" s="101" t="s">
        <v>217</v>
      </c>
      <c r="J17" s="97"/>
      <c r="K17" s="97"/>
      <c r="L17" s="97"/>
      <c r="M17" s="97"/>
      <c r="N17" s="88"/>
      <c r="O17" s="85"/>
      <c r="P17" s="92"/>
      <c r="Q17" s="82"/>
      <c r="R17" s="107"/>
      <c r="S17" s="108"/>
      <c r="T17" s="90"/>
      <c r="U17" s="100"/>
      <c r="V17" s="109"/>
      <c r="W17" s="73"/>
    </row>
    <row r="18" ht="14.25" spans="1:23">
      <c r="A18" s="110" t="s">
        <v>242</v>
      </c>
      <c r="B18" s="111">
        <v>6</v>
      </c>
      <c r="C18" s="111">
        <v>5</v>
      </c>
      <c r="D18" s="111">
        <v>5</v>
      </c>
      <c r="E18" s="111">
        <v>4</v>
      </c>
      <c r="F18" s="111">
        <v>3</v>
      </c>
      <c r="G18" s="112">
        <v>2</v>
      </c>
      <c r="H18" s="112">
        <v>4</v>
      </c>
      <c r="I18" s="111">
        <v>3</v>
      </c>
      <c r="J18" s="111">
        <v>1</v>
      </c>
      <c r="K18" s="111">
        <v>1</v>
      </c>
      <c r="L18" s="111">
        <v>1</v>
      </c>
      <c r="M18" s="111">
        <v>1</v>
      </c>
      <c r="N18" s="111">
        <v>2</v>
      </c>
      <c r="O18" s="111">
        <v>1</v>
      </c>
      <c r="P18" s="113">
        <v>1</v>
      </c>
      <c r="Q18" s="114"/>
      <c r="R18" s="115"/>
      <c r="S18" s="116"/>
      <c r="T18" s="117"/>
      <c r="U18" s="117">
        <v>40</v>
      </c>
      <c r="V18" s="118"/>
      <c r="W18" s="73"/>
    </row>
    <row r="19" spans="1:23">
      <c r="A19" s="85" t="s">
        <v>41</v>
      </c>
      <c r="B19" s="119" t="s">
        <v>103</v>
      </c>
      <c r="C19" s="119"/>
      <c r="D19" s="119" t="s">
        <v>26</v>
      </c>
      <c r="E19" s="119"/>
      <c r="F19" s="119" t="s">
        <v>102</v>
      </c>
      <c r="G19" s="119"/>
      <c r="H19" s="119" t="s">
        <v>99</v>
      </c>
      <c r="I19" s="120"/>
      <c r="J19" s="120"/>
      <c r="K19" s="120"/>
      <c r="L19" s="120"/>
      <c r="M19" s="119"/>
      <c r="N19" s="120"/>
      <c r="O19" s="120"/>
      <c r="P19" s="120"/>
      <c r="Q19" s="120"/>
      <c r="R19" s="121"/>
      <c r="S19" s="119">
        <v>4</v>
      </c>
      <c r="T19" s="119"/>
      <c r="U19" s="82"/>
      <c r="V19" s="82"/>
      <c r="W19" s="85"/>
    </row>
    <row r="20" ht="22.5" spans="1:23">
      <c r="A20" s="71" t="s">
        <v>243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3"/>
    </row>
    <row r="21" ht="14.25" spans="1:23">
      <c r="A21" s="74" t="s">
        <v>173</v>
      </c>
      <c r="B21" s="75" t="s">
        <v>174</v>
      </c>
      <c r="C21" s="75" t="s">
        <v>13</v>
      </c>
      <c r="D21" s="75" t="s">
        <v>175</v>
      </c>
      <c r="E21" s="75" t="s">
        <v>15</v>
      </c>
      <c r="F21" s="76" t="s">
        <v>16</v>
      </c>
      <c r="G21" s="122" t="s">
        <v>17</v>
      </c>
      <c r="H21" s="123" t="s">
        <v>18</v>
      </c>
      <c r="I21" s="85" t="s">
        <v>176</v>
      </c>
      <c r="J21" s="124" t="s">
        <v>19</v>
      </c>
      <c r="K21" s="75" t="s">
        <v>20</v>
      </c>
      <c r="L21" s="75" t="s">
        <v>21</v>
      </c>
      <c r="M21" s="75" t="s">
        <v>22</v>
      </c>
      <c r="N21" s="75" t="s">
        <v>98</v>
      </c>
      <c r="O21" s="75" t="s">
        <v>179</v>
      </c>
      <c r="P21" s="75" t="s">
        <v>25</v>
      </c>
      <c r="Q21" s="125" t="s">
        <v>26</v>
      </c>
      <c r="R21" s="125" t="s">
        <v>41</v>
      </c>
      <c r="S21" s="74"/>
      <c r="T21" s="126"/>
      <c r="U21" s="79"/>
      <c r="V21" s="127" t="s">
        <v>181</v>
      </c>
      <c r="W21" s="128" t="s">
        <v>244</v>
      </c>
    </row>
    <row r="22" ht="14.25" spans="1:23">
      <c r="A22" s="75">
        <v>1</v>
      </c>
      <c r="B22" s="88" t="s">
        <v>245</v>
      </c>
      <c r="C22" s="97" t="s">
        <v>246</v>
      </c>
      <c r="D22" s="85" t="s">
        <v>247</v>
      </c>
      <c r="E22" s="88" t="s">
        <v>248</v>
      </c>
      <c r="F22" s="89" t="s">
        <v>249</v>
      </c>
      <c r="G22" s="88" t="s">
        <v>250</v>
      </c>
      <c r="H22" s="129" t="s">
        <v>251</v>
      </c>
      <c r="I22" s="85" t="s">
        <v>252</v>
      </c>
      <c r="J22" s="93" t="s">
        <v>253</v>
      </c>
      <c r="K22" s="85" t="s">
        <v>254</v>
      </c>
      <c r="L22" s="88" t="s">
        <v>255</v>
      </c>
      <c r="M22" s="85" t="s">
        <v>256</v>
      </c>
      <c r="N22" s="90" t="s">
        <v>251</v>
      </c>
      <c r="O22" s="85" t="s">
        <v>252</v>
      </c>
      <c r="P22" s="97" t="s">
        <v>246</v>
      </c>
      <c r="Q22" s="85" t="s">
        <v>247</v>
      </c>
      <c r="R22" s="97"/>
      <c r="S22" s="100"/>
      <c r="T22" s="88"/>
      <c r="U22" s="103"/>
      <c r="V22" s="90" t="s">
        <v>251</v>
      </c>
      <c r="W22" s="128"/>
    </row>
    <row r="23" ht="14.25" spans="1:23">
      <c r="A23" s="75">
        <v>2</v>
      </c>
      <c r="B23" s="88" t="s">
        <v>245</v>
      </c>
      <c r="C23" s="97" t="s">
        <v>246</v>
      </c>
      <c r="D23" s="85" t="s">
        <v>247</v>
      </c>
      <c r="E23" s="88" t="s">
        <v>248</v>
      </c>
      <c r="F23" s="89" t="s">
        <v>249</v>
      </c>
      <c r="G23" s="88" t="s">
        <v>250</v>
      </c>
      <c r="H23" s="129" t="s">
        <v>251</v>
      </c>
      <c r="I23" s="85" t="s">
        <v>252</v>
      </c>
      <c r="J23" s="93" t="s">
        <v>253</v>
      </c>
      <c r="K23" s="85" t="s">
        <v>254</v>
      </c>
      <c r="L23" s="88" t="s">
        <v>255</v>
      </c>
      <c r="M23" s="85" t="s">
        <v>256</v>
      </c>
      <c r="N23" s="130" t="s">
        <v>246</v>
      </c>
      <c r="O23" s="85" t="s">
        <v>252</v>
      </c>
      <c r="P23" s="97" t="s">
        <v>246</v>
      </c>
      <c r="Q23" s="85" t="s">
        <v>247</v>
      </c>
      <c r="R23" s="97"/>
      <c r="S23" s="100"/>
      <c r="T23" s="88"/>
      <c r="U23" s="82"/>
      <c r="V23" s="130" t="s">
        <v>246</v>
      </c>
      <c r="W23" s="128"/>
    </row>
    <row r="24" ht="14.25" spans="1:23">
      <c r="A24" s="76">
        <v>3</v>
      </c>
      <c r="B24" s="101" t="s">
        <v>257</v>
      </c>
      <c r="C24" s="131" t="s">
        <v>258</v>
      </c>
      <c r="D24" s="88" t="s">
        <v>259</v>
      </c>
      <c r="E24" s="88" t="s">
        <v>248</v>
      </c>
      <c r="F24" s="89" t="s">
        <v>249</v>
      </c>
      <c r="G24" s="88" t="s">
        <v>250</v>
      </c>
      <c r="H24" s="129" t="s">
        <v>251</v>
      </c>
      <c r="I24" s="85" t="s">
        <v>252</v>
      </c>
      <c r="J24" s="93" t="s">
        <v>253</v>
      </c>
      <c r="K24" s="85" t="s">
        <v>254</v>
      </c>
      <c r="L24" s="88" t="s">
        <v>255</v>
      </c>
      <c r="M24" s="85" t="s">
        <v>256</v>
      </c>
      <c r="N24" s="88" t="s">
        <v>248</v>
      </c>
      <c r="O24" s="85" t="s">
        <v>252</v>
      </c>
      <c r="P24" s="131" t="s">
        <v>258</v>
      </c>
      <c r="Q24" s="88" t="s">
        <v>259</v>
      </c>
      <c r="R24" s="99"/>
      <c r="S24" s="100"/>
      <c r="T24" s="88"/>
      <c r="U24" s="82"/>
      <c r="V24" s="88" t="s">
        <v>248</v>
      </c>
      <c r="W24" s="128"/>
    </row>
    <row r="25" ht="14.25" spans="1:23">
      <c r="A25" s="76">
        <v>4</v>
      </c>
      <c r="B25" s="101" t="s">
        <v>257</v>
      </c>
      <c r="C25" s="131" t="s">
        <v>258</v>
      </c>
      <c r="D25" s="88" t="s">
        <v>259</v>
      </c>
      <c r="E25" s="88" t="s">
        <v>248</v>
      </c>
      <c r="F25" s="89" t="s">
        <v>249</v>
      </c>
      <c r="G25" s="85" t="s">
        <v>260</v>
      </c>
      <c r="H25" s="129" t="s">
        <v>261</v>
      </c>
      <c r="I25" s="85" t="s">
        <v>262</v>
      </c>
      <c r="J25" s="93" t="s">
        <v>253</v>
      </c>
      <c r="K25" s="85" t="s">
        <v>254</v>
      </c>
      <c r="L25" s="88" t="s">
        <v>255</v>
      </c>
      <c r="M25" s="85" t="s">
        <v>256</v>
      </c>
      <c r="N25" s="85" t="s">
        <v>257</v>
      </c>
      <c r="O25" s="85" t="s">
        <v>262</v>
      </c>
      <c r="P25" s="131" t="s">
        <v>258</v>
      </c>
      <c r="Q25" s="88" t="s">
        <v>259</v>
      </c>
      <c r="R25" s="99"/>
      <c r="S25" s="100"/>
      <c r="T25" s="88"/>
      <c r="U25" s="82"/>
      <c r="V25" s="85" t="s">
        <v>257</v>
      </c>
      <c r="W25" s="128"/>
    </row>
    <row r="26" ht="14.25" spans="1:23">
      <c r="A26" s="75">
        <v>5</v>
      </c>
      <c r="B26" s="132" t="s">
        <v>263</v>
      </c>
      <c r="C26" s="85" t="s">
        <v>264</v>
      </c>
      <c r="D26" s="133" t="s">
        <v>265</v>
      </c>
      <c r="E26" s="88" t="s">
        <v>248</v>
      </c>
      <c r="F26" s="89" t="s">
        <v>249</v>
      </c>
      <c r="G26" s="85" t="s">
        <v>260</v>
      </c>
      <c r="H26" s="129" t="s">
        <v>261</v>
      </c>
      <c r="I26" s="85" t="s">
        <v>262</v>
      </c>
      <c r="J26" s="134" t="s">
        <v>266</v>
      </c>
      <c r="K26" s="85" t="s">
        <v>254</v>
      </c>
      <c r="L26" s="88" t="s">
        <v>255</v>
      </c>
      <c r="M26" s="85" t="s">
        <v>256</v>
      </c>
      <c r="N26" s="89" t="s">
        <v>263</v>
      </c>
      <c r="O26" s="85" t="s">
        <v>262</v>
      </c>
      <c r="P26" s="85" t="s">
        <v>264</v>
      </c>
      <c r="Q26" s="133" t="s">
        <v>265</v>
      </c>
      <c r="R26" s="85"/>
      <c r="S26" s="100"/>
      <c r="T26" s="88"/>
      <c r="U26" s="82"/>
      <c r="V26" s="89" t="s">
        <v>263</v>
      </c>
      <c r="W26" s="128"/>
    </row>
    <row r="27" ht="14.25" spans="1:23">
      <c r="A27" s="75">
        <v>6</v>
      </c>
      <c r="B27" s="88" t="s">
        <v>263</v>
      </c>
      <c r="C27" s="85" t="s">
        <v>267</v>
      </c>
      <c r="D27" s="133" t="s">
        <v>265</v>
      </c>
      <c r="E27" s="88" t="s">
        <v>248</v>
      </c>
      <c r="F27" s="89" t="s">
        <v>249</v>
      </c>
      <c r="G27" s="85" t="s">
        <v>260</v>
      </c>
      <c r="H27" s="129" t="s">
        <v>261</v>
      </c>
      <c r="I27" s="85" t="s">
        <v>262</v>
      </c>
      <c r="J27" s="134" t="s">
        <v>266</v>
      </c>
      <c r="K27" s="85" t="s">
        <v>254</v>
      </c>
      <c r="L27" s="88" t="s">
        <v>255</v>
      </c>
      <c r="M27" s="85" t="s">
        <v>256</v>
      </c>
      <c r="N27" s="133" t="s">
        <v>265</v>
      </c>
      <c r="O27" s="85" t="s">
        <v>262</v>
      </c>
      <c r="P27" s="85" t="s">
        <v>267</v>
      </c>
      <c r="Q27" s="133" t="s">
        <v>265</v>
      </c>
      <c r="R27" s="85"/>
      <c r="S27" s="100"/>
      <c r="T27" s="88"/>
      <c r="U27" s="82"/>
      <c r="V27" s="133" t="s">
        <v>265</v>
      </c>
      <c r="W27" s="128"/>
    </row>
    <row r="28" ht="14.25" spans="1:23">
      <c r="A28" s="75">
        <v>7</v>
      </c>
      <c r="B28" s="88" t="s">
        <v>268</v>
      </c>
      <c r="C28" s="132" t="s">
        <v>269</v>
      </c>
      <c r="D28" s="88" t="s">
        <v>270</v>
      </c>
      <c r="E28" s="88" t="s">
        <v>271</v>
      </c>
      <c r="F28" s="88" t="s">
        <v>272</v>
      </c>
      <c r="G28" s="135" t="s">
        <v>273</v>
      </c>
      <c r="H28" s="89" t="s">
        <v>274</v>
      </c>
      <c r="I28" s="85" t="s">
        <v>275</v>
      </c>
      <c r="J28" s="134" t="s">
        <v>266</v>
      </c>
      <c r="K28" s="85" t="s">
        <v>254</v>
      </c>
      <c r="L28" s="88" t="s">
        <v>255</v>
      </c>
      <c r="M28" s="85" t="s">
        <v>256</v>
      </c>
      <c r="N28" s="135" t="s">
        <v>273</v>
      </c>
      <c r="O28" s="85" t="s">
        <v>275</v>
      </c>
      <c r="P28" s="132" t="s">
        <v>269</v>
      </c>
      <c r="Q28" s="88" t="s">
        <v>270</v>
      </c>
      <c r="R28" s="132"/>
      <c r="S28" s="100"/>
      <c r="T28" s="88"/>
      <c r="U28" s="82"/>
      <c r="V28" s="135" t="s">
        <v>273</v>
      </c>
      <c r="W28" s="128"/>
    </row>
    <row r="29" ht="14.25" spans="1:23">
      <c r="A29" s="75">
        <v>8</v>
      </c>
      <c r="B29" s="88" t="s">
        <v>268</v>
      </c>
      <c r="C29" s="88" t="s">
        <v>269</v>
      </c>
      <c r="D29" s="88" t="s">
        <v>270</v>
      </c>
      <c r="E29" s="88" t="s">
        <v>271</v>
      </c>
      <c r="F29" s="88" t="s">
        <v>272</v>
      </c>
      <c r="G29" s="135" t="s">
        <v>273</v>
      </c>
      <c r="H29" s="89" t="s">
        <v>274</v>
      </c>
      <c r="I29" s="85" t="s">
        <v>275</v>
      </c>
      <c r="J29" s="134" t="s">
        <v>266</v>
      </c>
      <c r="K29" s="85" t="s">
        <v>254</v>
      </c>
      <c r="L29" s="88" t="s">
        <v>255</v>
      </c>
      <c r="M29" s="85" t="s">
        <v>256</v>
      </c>
      <c r="N29" s="129" t="s">
        <v>269</v>
      </c>
      <c r="O29" s="85" t="s">
        <v>275</v>
      </c>
      <c r="P29" s="88" t="s">
        <v>269</v>
      </c>
      <c r="Q29" s="88" t="s">
        <v>270</v>
      </c>
      <c r="R29" s="88"/>
      <c r="S29" s="100"/>
      <c r="T29" s="88"/>
      <c r="U29" s="82"/>
      <c r="V29" s="129" t="s">
        <v>269</v>
      </c>
      <c r="W29" s="128"/>
    </row>
    <row r="30" ht="14.25" spans="1:23">
      <c r="A30" s="75">
        <v>9</v>
      </c>
      <c r="B30" s="88" t="s">
        <v>276</v>
      </c>
      <c r="C30" s="88" t="s">
        <v>277</v>
      </c>
      <c r="D30" s="97" t="s">
        <v>278</v>
      </c>
      <c r="E30" s="88" t="s">
        <v>271</v>
      </c>
      <c r="F30" s="88" t="s">
        <v>272</v>
      </c>
      <c r="G30" s="135" t="s">
        <v>273</v>
      </c>
      <c r="H30" s="89" t="s">
        <v>274</v>
      </c>
      <c r="I30" s="85" t="s">
        <v>275</v>
      </c>
      <c r="J30" s="88" t="s">
        <v>209</v>
      </c>
      <c r="K30" s="85" t="s">
        <v>254</v>
      </c>
      <c r="L30" s="88" t="s">
        <v>255</v>
      </c>
      <c r="M30" s="85" t="s">
        <v>256</v>
      </c>
      <c r="N30" s="88" t="s">
        <v>277</v>
      </c>
      <c r="O30" s="85" t="s">
        <v>275</v>
      </c>
      <c r="P30" s="88" t="s">
        <v>277</v>
      </c>
      <c r="Q30" s="97" t="s">
        <v>278</v>
      </c>
      <c r="R30" s="88"/>
      <c r="S30" s="100"/>
      <c r="T30" s="136"/>
      <c r="U30" s="82"/>
      <c r="V30" s="88" t="s">
        <v>277</v>
      </c>
      <c r="W30" s="128"/>
    </row>
    <row r="31" ht="14.25" spans="1:23">
      <c r="A31" s="75">
        <v>10</v>
      </c>
      <c r="B31" s="88" t="s">
        <v>276</v>
      </c>
      <c r="C31" s="88" t="s">
        <v>277</v>
      </c>
      <c r="D31" s="97" t="s">
        <v>278</v>
      </c>
      <c r="E31" s="88" t="s">
        <v>271</v>
      </c>
      <c r="F31" s="88" t="s">
        <v>272</v>
      </c>
      <c r="G31" s="88" t="s">
        <v>279</v>
      </c>
      <c r="H31" s="129" t="s">
        <v>280</v>
      </c>
      <c r="I31" s="85" t="s">
        <v>281</v>
      </c>
      <c r="J31" s="100" t="s">
        <v>238</v>
      </c>
      <c r="K31" s="85" t="s">
        <v>254</v>
      </c>
      <c r="L31" s="88" t="s">
        <v>255</v>
      </c>
      <c r="M31" s="85" t="s">
        <v>256</v>
      </c>
      <c r="N31" s="133" t="s">
        <v>280</v>
      </c>
      <c r="O31" s="85" t="s">
        <v>281</v>
      </c>
      <c r="P31" s="88" t="s">
        <v>277</v>
      </c>
      <c r="Q31" s="97" t="s">
        <v>278</v>
      </c>
      <c r="R31" s="88"/>
      <c r="S31" s="100"/>
      <c r="T31" s="136"/>
      <c r="U31" s="82"/>
      <c r="V31" s="133" t="s">
        <v>280</v>
      </c>
      <c r="W31" s="128"/>
    </row>
    <row r="32" ht="14.25" spans="1:23">
      <c r="A32" s="75">
        <v>11</v>
      </c>
      <c r="B32" s="93" t="s">
        <v>282</v>
      </c>
      <c r="C32" s="97" t="s">
        <v>283</v>
      </c>
      <c r="D32" s="88" t="s">
        <v>284</v>
      </c>
      <c r="E32" s="88" t="s">
        <v>271</v>
      </c>
      <c r="F32" s="88" t="s">
        <v>272</v>
      </c>
      <c r="G32" s="88" t="s">
        <v>279</v>
      </c>
      <c r="H32" s="129" t="s">
        <v>280</v>
      </c>
      <c r="I32" s="85" t="s">
        <v>281</v>
      </c>
      <c r="J32" s="100" t="s">
        <v>231</v>
      </c>
      <c r="K32" s="85" t="s">
        <v>254</v>
      </c>
      <c r="L32" s="88" t="s">
        <v>255</v>
      </c>
      <c r="M32" s="91" t="s">
        <v>285</v>
      </c>
      <c r="N32" s="89" t="s">
        <v>272</v>
      </c>
      <c r="O32" s="85" t="s">
        <v>281</v>
      </c>
      <c r="P32" s="97" t="s">
        <v>283</v>
      </c>
      <c r="Q32" s="88" t="s">
        <v>284</v>
      </c>
      <c r="R32" s="88"/>
      <c r="S32" s="100"/>
      <c r="T32" s="136"/>
      <c r="U32" s="82"/>
      <c r="V32" s="89" t="s">
        <v>272</v>
      </c>
      <c r="W32" s="128"/>
    </row>
    <row r="33" ht="14.25" spans="1:23">
      <c r="A33" s="75">
        <v>12</v>
      </c>
      <c r="B33" s="93" t="s">
        <v>282</v>
      </c>
      <c r="C33" s="97" t="s">
        <v>283</v>
      </c>
      <c r="D33" s="88" t="s">
        <v>284</v>
      </c>
      <c r="E33" s="88" t="s">
        <v>271</v>
      </c>
      <c r="F33" s="88" t="s">
        <v>272</v>
      </c>
      <c r="G33" s="88" t="s">
        <v>279</v>
      </c>
      <c r="H33" s="129" t="s">
        <v>280</v>
      </c>
      <c r="I33" s="85" t="s">
        <v>281</v>
      </c>
      <c r="J33" s="137" t="s">
        <v>286</v>
      </c>
      <c r="K33" s="85" t="s">
        <v>254</v>
      </c>
      <c r="L33" s="88" t="s">
        <v>255</v>
      </c>
      <c r="M33" s="91" t="s">
        <v>285</v>
      </c>
      <c r="N33" s="93" t="s">
        <v>282</v>
      </c>
      <c r="O33" s="85" t="s">
        <v>281</v>
      </c>
      <c r="P33" s="97" t="s">
        <v>283</v>
      </c>
      <c r="Q33" s="88" t="s">
        <v>284</v>
      </c>
      <c r="R33" s="88"/>
      <c r="S33" s="100"/>
      <c r="T33" s="136"/>
      <c r="U33" s="82"/>
      <c r="V33" s="93" t="s">
        <v>282</v>
      </c>
      <c r="W33" s="128"/>
    </row>
    <row r="34" ht="14.25" spans="1:23">
      <c r="A34" s="75">
        <v>13</v>
      </c>
      <c r="B34" s="97" t="s">
        <v>287</v>
      </c>
      <c r="C34" s="97" t="s">
        <v>288</v>
      </c>
      <c r="D34" s="88" t="s">
        <v>289</v>
      </c>
      <c r="E34" s="88" t="s">
        <v>290</v>
      </c>
      <c r="F34" s="89" t="s">
        <v>291</v>
      </c>
      <c r="G34" s="88" t="s">
        <v>292</v>
      </c>
      <c r="H34" s="129" t="s">
        <v>293</v>
      </c>
      <c r="I34" s="85" t="s">
        <v>294</v>
      </c>
      <c r="J34" s="137" t="s">
        <v>286</v>
      </c>
      <c r="K34" s="85" t="s">
        <v>232</v>
      </c>
      <c r="L34" s="88" t="s">
        <v>192</v>
      </c>
      <c r="M34" s="91" t="s">
        <v>285</v>
      </c>
      <c r="N34" s="138" t="s">
        <v>287</v>
      </c>
      <c r="O34" s="85" t="s">
        <v>294</v>
      </c>
      <c r="P34" s="97" t="s">
        <v>288</v>
      </c>
      <c r="Q34" s="88" t="s">
        <v>289</v>
      </c>
      <c r="R34" s="97"/>
      <c r="S34" s="100"/>
      <c r="T34" s="136"/>
      <c r="U34" s="82"/>
      <c r="V34" s="138" t="s">
        <v>287</v>
      </c>
      <c r="W34" s="128"/>
    </row>
    <row r="35" ht="14.25" spans="1:23">
      <c r="A35" s="75">
        <v>14</v>
      </c>
      <c r="B35" s="97" t="s">
        <v>287</v>
      </c>
      <c r="C35" s="97" t="s">
        <v>288</v>
      </c>
      <c r="D35" s="88" t="s">
        <v>289</v>
      </c>
      <c r="E35" s="88" t="s">
        <v>290</v>
      </c>
      <c r="F35" s="89" t="s">
        <v>291</v>
      </c>
      <c r="G35" s="88" t="s">
        <v>292</v>
      </c>
      <c r="H35" s="129" t="s">
        <v>293</v>
      </c>
      <c r="I35" s="85" t="s">
        <v>295</v>
      </c>
      <c r="J35" s="137" t="s">
        <v>286</v>
      </c>
      <c r="K35" s="85" t="s">
        <v>232</v>
      </c>
      <c r="L35" s="88" t="s">
        <v>192</v>
      </c>
      <c r="M35" s="91" t="s">
        <v>285</v>
      </c>
      <c r="N35" s="89" t="s">
        <v>289</v>
      </c>
      <c r="O35" s="85" t="s">
        <v>295</v>
      </c>
      <c r="P35" s="97" t="s">
        <v>288</v>
      </c>
      <c r="Q35" s="88" t="s">
        <v>289</v>
      </c>
      <c r="R35" s="97"/>
      <c r="S35" s="73"/>
      <c r="T35" s="136"/>
      <c r="U35" s="82"/>
      <c r="V35" s="89" t="s">
        <v>289</v>
      </c>
      <c r="W35" s="128"/>
    </row>
    <row r="36" ht="14.25" spans="1:23">
      <c r="A36" s="75">
        <v>15</v>
      </c>
      <c r="B36" s="97" t="s">
        <v>296</v>
      </c>
      <c r="C36" s="97" t="s">
        <v>297</v>
      </c>
      <c r="D36" s="100" t="s">
        <v>298</v>
      </c>
      <c r="E36" s="88" t="s">
        <v>290</v>
      </c>
      <c r="F36" s="89" t="s">
        <v>291</v>
      </c>
      <c r="G36" s="88" t="s">
        <v>292</v>
      </c>
      <c r="H36" s="89" t="s">
        <v>299</v>
      </c>
      <c r="I36" s="85" t="s">
        <v>295</v>
      </c>
      <c r="J36" s="133" t="s">
        <v>300</v>
      </c>
      <c r="K36" s="85" t="s">
        <v>232</v>
      </c>
      <c r="L36" s="88" t="s">
        <v>192</v>
      </c>
      <c r="M36" s="91" t="s">
        <v>285</v>
      </c>
      <c r="N36" s="88" t="s">
        <v>292</v>
      </c>
      <c r="O36" s="85" t="s">
        <v>295</v>
      </c>
      <c r="P36" s="97" t="s">
        <v>297</v>
      </c>
      <c r="Q36" s="100" t="s">
        <v>298</v>
      </c>
      <c r="R36" s="97"/>
      <c r="S36" s="73"/>
      <c r="T36" s="136"/>
      <c r="U36" s="82"/>
      <c r="V36" s="88" t="s">
        <v>292</v>
      </c>
      <c r="W36" s="128"/>
    </row>
    <row r="37" ht="14.25" spans="1:23">
      <c r="A37" s="75">
        <v>16</v>
      </c>
      <c r="B37" s="111" t="s">
        <v>301</v>
      </c>
      <c r="C37" s="97" t="s">
        <v>297</v>
      </c>
      <c r="D37" s="100" t="s">
        <v>298</v>
      </c>
      <c r="E37" s="88" t="s">
        <v>290</v>
      </c>
      <c r="F37" s="89" t="s">
        <v>291</v>
      </c>
      <c r="G37" s="82" t="s">
        <v>302</v>
      </c>
      <c r="H37" s="89" t="s">
        <v>299</v>
      </c>
      <c r="I37" s="85" t="s">
        <v>303</v>
      </c>
      <c r="J37" s="133" t="s">
        <v>300</v>
      </c>
      <c r="K37" s="85" t="s">
        <v>232</v>
      </c>
      <c r="L37" s="88" t="s">
        <v>192</v>
      </c>
      <c r="M37" s="91" t="s">
        <v>285</v>
      </c>
      <c r="N37" s="89" t="s">
        <v>290</v>
      </c>
      <c r="O37" s="85" t="s">
        <v>303</v>
      </c>
      <c r="P37" s="97" t="s">
        <v>297</v>
      </c>
      <c r="Q37" s="100" t="s">
        <v>298</v>
      </c>
      <c r="R37" s="97"/>
      <c r="S37" s="100"/>
      <c r="T37" s="136"/>
      <c r="U37" s="82"/>
      <c r="V37" s="89" t="s">
        <v>290</v>
      </c>
      <c r="W37" s="128"/>
    </row>
    <row r="38" ht="14.25" spans="1:23">
      <c r="A38" s="75">
        <v>17</v>
      </c>
      <c r="B38" s="88" t="s">
        <v>304</v>
      </c>
      <c r="C38" s="88" t="s">
        <v>305</v>
      </c>
      <c r="D38" s="88" t="s">
        <v>306</v>
      </c>
      <c r="E38" s="88" t="s">
        <v>290</v>
      </c>
      <c r="F38" s="89" t="s">
        <v>291</v>
      </c>
      <c r="G38" s="82" t="s">
        <v>302</v>
      </c>
      <c r="H38" s="89" t="s">
        <v>299</v>
      </c>
      <c r="I38" s="85" t="s">
        <v>303</v>
      </c>
      <c r="J38" s="133" t="s">
        <v>300</v>
      </c>
      <c r="K38" s="85" t="s">
        <v>232</v>
      </c>
      <c r="L38" s="88" t="s">
        <v>192</v>
      </c>
      <c r="M38" s="91" t="s">
        <v>285</v>
      </c>
      <c r="N38" s="129" t="s">
        <v>291</v>
      </c>
      <c r="O38" s="85" t="s">
        <v>303</v>
      </c>
      <c r="P38" s="88" t="s">
        <v>305</v>
      </c>
      <c r="Q38" s="88" t="s">
        <v>306</v>
      </c>
      <c r="R38" s="88"/>
      <c r="S38" s="73"/>
      <c r="T38" s="136"/>
      <c r="U38" s="82"/>
      <c r="V38" s="129" t="s">
        <v>291</v>
      </c>
      <c r="W38" s="128"/>
    </row>
    <row r="39" ht="14.25" spans="1:23">
      <c r="A39" s="75">
        <v>18</v>
      </c>
      <c r="B39" s="88" t="s">
        <v>304</v>
      </c>
      <c r="C39" s="88" t="s">
        <v>305</v>
      </c>
      <c r="D39" s="88" t="s">
        <v>306</v>
      </c>
      <c r="E39" s="88" t="s">
        <v>290</v>
      </c>
      <c r="F39" s="89" t="s">
        <v>291</v>
      </c>
      <c r="G39" s="82" t="s">
        <v>302</v>
      </c>
      <c r="H39" s="89" t="s">
        <v>307</v>
      </c>
      <c r="I39" s="85" t="s">
        <v>303</v>
      </c>
      <c r="J39" s="133" t="s">
        <v>300</v>
      </c>
      <c r="K39" s="85" t="s">
        <v>232</v>
      </c>
      <c r="L39" s="88" t="s">
        <v>192</v>
      </c>
      <c r="M39" s="91" t="s">
        <v>285</v>
      </c>
      <c r="N39" s="88" t="s">
        <v>306</v>
      </c>
      <c r="O39" s="85" t="s">
        <v>303</v>
      </c>
      <c r="P39" s="88" t="s">
        <v>305</v>
      </c>
      <c r="Q39" s="88" t="s">
        <v>306</v>
      </c>
      <c r="R39" s="88"/>
      <c r="S39" s="73"/>
      <c r="T39" s="139"/>
      <c r="U39" s="82"/>
      <c r="V39" s="88" t="s">
        <v>306</v>
      </c>
      <c r="W39" s="128"/>
    </row>
    <row r="40" ht="14.25" spans="1:23">
      <c r="A40" s="75" t="s">
        <v>241</v>
      </c>
      <c r="B40" s="97" t="s">
        <v>287</v>
      </c>
      <c r="C40" s="88" t="s">
        <v>297</v>
      </c>
      <c r="D40" s="97" t="s">
        <v>270</v>
      </c>
      <c r="E40" s="88" t="s">
        <v>271</v>
      </c>
      <c r="F40" s="89" t="s">
        <v>291</v>
      </c>
      <c r="G40" s="88" t="s">
        <v>250</v>
      </c>
      <c r="H40" s="129" t="s">
        <v>261</v>
      </c>
      <c r="I40" s="85" t="s">
        <v>262</v>
      </c>
      <c r="J40" s="134" t="s">
        <v>266</v>
      </c>
      <c r="K40" s="97"/>
      <c r="L40" s="97"/>
      <c r="M40" s="97"/>
      <c r="N40" s="97"/>
      <c r="O40" s="85"/>
      <c r="P40" s="88"/>
      <c r="Q40" s="100"/>
      <c r="R40" s="113" t="s">
        <v>308</v>
      </c>
      <c r="S40" s="90"/>
      <c r="T40" s="90"/>
      <c r="U40" s="100"/>
      <c r="V40" s="140"/>
      <c r="W40" s="128"/>
    </row>
    <row r="41" ht="14.25" spans="1:23">
      <c r="A41" s="110" t="s">
        <v>242</v>
      </c>
      <c r="B41" s="111">
        <v>6</v>
      </c>
      <c r="C41" s="111">
        <v>5</v>
      </c>
      <c r="D41" s="111">
        <v>5</v>
      </c>
      <c r="E41" s="111">
        <v>2</v>
      </c>
      <c r="F41" s="111">
        <v>2</v>
      </c>
      <c r="G41" s="111">
        <v>3</v>
      </c>
      <c r="H41" s="111">
        <v>3</v>
      </c>
      <c r="I41" s="112">
        <v>3</v>
      </c>
      <c r="J41" s="111">
        <v>3</v>
      </c>
      <c r="K41" s="111">
        <v>1</v>
      </c>
      <c r="L41" s="111">
        <v>1</v>
      </c>
      <c r="M41" s="111">
        <v>1</v>
      </c>
      <c r="N41" s="111">
        <v>1</v>
      </c>
      <c r="O41" s="111">
        <v>1</v>
      </c>
      <c r="P41" s="111">
        <v>1</v>
      </c>
      <c r="Q41" s="113">
        <v>1</v>
      </c>
      <c r="R41" s="85">
        <v>1</v>
      </c>
      <c r="S41" s="117"/>
      <c r="T41" s="117"/>
      <c r="U41" s="117"/>
      <c r="V41" s="100">
        <v>40</v>
      </c>
      <c r="W41" s="73"/>
    </row>
    <row r="42" ht="14.25" spans="1:23">
      <c r="A42" s="85" t="s">
        <v>41</v>
      </c>
      <c r="B42" s="100" t="s">
        <v>103</v>
      </c>
      <c r="C42" s="100"/>
      <c r="D42" s="100"/>
      <c r="E42" s="100"/>
      <c r="F42" s="100"/>
      <c r="G42" s="100" t="s">
        <v>17</v>
      </c>
      <c r="H42" s="100" t="s">
        <v>18</v>
      </c>
      <c r="I42" s="100"/>
      <c r="J42" s="100"/>
      <c r="K42" s="100"/>
      <c r="L42" s="100"/>
      <c r="M42" s="100"/>
      <c r="N42" s="100"/>
      <c r="O42" s="100"/>
      <c r="P42" s="100"/>
      <c r="Q42" s="100"/>
      <c r="R42" s="100" t="s">
        <v>309</v>
      </c>
      <c r="S42" s="100"/>
      <c r="T42" s="100"/>
      <c r="U42" s="100"/>
      <c r="V42" s="100"/>
      <c r="W42" s="82"/>
    </row>
    <row r="43" ht="14.25" spans="1:23">
      <c r="A43" s="122" t="s">
        <v>310</v>
      </c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</row>
    <row r="44" ht="22.5" spans="1:23">
      <c r="A44" s="71" t="s">
        <v>311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3"/>
    </row>
    <row r="45" ht="14.25" spans="1:23">
      <c r="A45" s="74" t="s">
        <v>173</v>
      </c>
      <c r="B45" s="74" t="s">
        <v>174</v>
      </c>
      <c r="C45" s="74" t="s">
        <v>13</v>
      </c>
      <c r="D45" s="74" t="s">
        <v>175</v>
      </c>
      <c r="E45" s="74" t="s">
        <v>15</v>
      </c>
      <c r="F45" s="125" t="s">
        <v>16</v>
      </c>
      <c r="G45" s="77" t="s">
        <v>17</v>
      </c>
      <c r="H45" s="141" t="s">
        <v>18</v>
      </c>
      <c r="I45" s="122" t="s">
        <v>19</v>
      </c>
      <c r="J45" s="78" t="s">
        <v>20</v>
      </c>
      <c r="K45" s="74" t="s">
        <v>21</v>
      </c>
      <c r="L45" s="74" t="s">
        <v>22</v>
      </c>
      <c r="M45" s="74" t="s">
        <v>23</v>
      </c>
      <c r="N45" s="74" t="s">
        <v>312</v>
      </c>
      <c r="O45" s="74" t="s">
        <v>24</v>
      </c>
      <c r="P45" s="74" t="s">
        <v>25</v>
      </c>
      <c r="Q45" s="125" t="s">
        <v>26</v>
      </c>
      <c r="R45" s="125" t="s">
        <v>27</v>
      </c>
      <c r="S45" s="126" t="s">
        <v>41</v>
      </c>
      <c r="T45" s="142" t="s">
        <v>37</v>
      </c>
      <c r="U45" s="82"/>
      <c r="V45" s="127" t="s">
        <v>181</v>
      </c>
      <c r="W45" s="128" t="s">
        <v>313</v>
      </c>
    </row>
    <row r="46" ht="14.25" spans="1:23">
      <c r="A46" s="76">
        <v>1</v>
      </c>
      <c r="B46" s="143" t="s">
        <v>314</v>
      </c>
      <c r="C46" s="100" t="s">
        <v>315</v>
      </c>
      <c r="D46" s="100" t="s">
        <v>316</v>
      </c>
      <c r="E46" s="100" t="s">
        <v>317</v>
      </c>
      <c r="F46" s="143" t="s">
        <v>318</v>
      </c>
      <c r="G46" s="100" t="s">
        <v>319</v>
      </c>
      <c r="H46" s="144" t="s">
        <v>320</v>
      </c>
      <c r="I46" s="100" t="s">
        <v>321</v>
      </c>
      <c r="J46" s="85" t="s">
        <v>322</v>
      </c>
      <c r="K46" s="100" t="s">
        <v>323</v>
      </c>
      <c r="L46" s="85" t="s">
        <v>324</v>
      </c>
      <c r="M46" s="100" t="s">
        <v>325</v>
      </c>
      <c r="N46" s="100" t="s">
        <v>326</v>
      </c>
      <c r="O46" s="100" t="s">
        <v>317</v>
      </c>
      <c r="P46" s="100" t="s">
        <v>327</v>
      </c>
      <c r="Q46" s="100" t="s">
        <v>316</v>
      </c>
      <c r="R46" s="100" t="s">
        <v>315</v>
      </c>
      <c r="S46" s="100"/>
      <c r="T46" s="100"/>
      <c r="U46" s="85"/>
      <c r="V46" s="100" t="s">
        <v>317</v>
      </c>
      <c r="W46" s="128"/>
    </row>
    <row r="47" ht="14.25" spans="1:23">
      <c r="A47" s="76">
        <v>2</v>
      </c>
      <c r="B47" s="143" t="s">
        <v>314</v>
      </c>
      <c r="C47" s="143" t="s">
        <v>328</v>
      </c>
      <c r="D47" s="100" t="s">
        <v>316</v>
      </c>
      <c r="E47" s="100" t="s">
        <v>317</v>
      </c>
      <c r="F47" s="143" t="s">
        <v>318</v>
      </c>
      <c r="G47" s="100" t="s">
        <v>319</v>
      </c>
      <c r="H47" s="144" t="s">
        <v>320</v>
      </c>
      <c r="I47" s="100" t="s">
        <v>321</v>
      </c>
      <c r="J47" s="85" t="s">
        <v>322</v>
      </c>
      <c r="K47" s="100" t="s">
        <v>323</v>
      </c>
      <c r="L47" s="85" t="s">
        <v>324</v>
      </c>
      <c r="M47" s="100" t="s">
        <v>325</v>
      </c>
      <c r="N47" s="100" t="s">
        <v>326</v>
      </c>
      <c r="O47" s="143" t="s">
        <v>314</v>
      </c>
      <c r="P47" s="100" t="s">
        <v>327</v>
      </c>
      <c r="Q47" s="100" t="s">
        <v>316</v>
      </c>
      <c r="R47" s="143" t="s">
        <v>328</v>
      </c>
      <c r="S47" s="100"/>
      <c r="T47" s="100"/>
      <c r="U47" s="85"/>
      <c r="V47" s="143" t="s">
        <v>314</v>
      </c>
      <c r="W47" s="128"/>
    </row>
    <row r="48" ht="14.25" spans="1:23">
      <c r="A48" s="76">
        <v>3</v>
      </c>
      <c r="B48" s="143" t="s">
        <v>329</v>
      </c>
      <c r="C48" s="85" t="s">
        <v>330</v>
      </c>
      <c r="D48" s="143" t="s">
        <v>331</v>
      </c>
      <c r="E48" s="100" t="s">
        <v>317</v>
      </c>
      <c r="F48" s="143" t="s">
        <v>318</v>
      </c>
      <c r="G48" s="100" t="s">
        <v>319</v>
      </c>
      <c r="H48" s="144" t="s">
        <v>332</v>
      </c>
      <c r="I48" s="100" t="s">
        <v>321</v>
      </c>
      <c r="J48" s="85" t="s">
        <v>322</v>
      </c>
      <c r="K48" s="100" t="s">
        <v>323</v>
      </c>
      <c r="L48" s="85" t="s">
        <v>324</v>
      </c>
      <c r="M48" s="100" t="s">
        <v>325</v>
      </c>
      <c r="N48" s="100" t="s">
        <v>326</v>
      </c>
      <c r="O48" s="143" t="s">
        <v>318</v>
      </c>
      <c r="P48" s="100" t="s">
        <v>327</v>
      </c>
      <c r="Q48" s="143" t="s">
        <v>331</v>
      </c>
      <c r="R48" s="85" t="s">
        <v>330</v>
      </c>
      <c r="S48" s="100"/>
      <c r="T48" s="100"/>
      <c r="U48" s="85"/>
      <c r="V48" s="143" t="s">
        <v>318</v>
      </c>
      <c r="W48" s="128"/>
    </row>
    <row r="49" ht="14.25" spans="1:23">
      <c r="A49" s="76">
        <v>4</v>
      </c>
      <c r="B49" s="143" t="s">
        <v>329</v>
      </c>
      <c r="C49" s="85" t="s">
        <v>330</v>
      </c>
      <c r="D49" s="143" t="s">
        <v>331</v>
      </c>
      <c r="E49" s="100" t="s">
        <v>317</v>
      </c>
      <c r="F49" s="143" t="s">
        <v>318</v>
      </c>
      <c r="G49" s="100" t="s">
        <v>319</v>
      </c>
      <c r="H49" s="144" t="s">
        <v>332</v>
      </c>
      <c r="I49" s="100" t="s">
        <v>321</v>
      </c>
      <c r="J49" s="85" t="s">
        <v>322</v>
      </c>
      <c r="K49" s="100" t="s">
        <v>323</v>
      </c>
      <c r="L49" s="85" t="s">
        <v>324</v>
      </c>
      <c r="M49" s="100" t="s">
        <v>325</v>
      </c>
      <c r="N49" s="100" t="s">
        <v>326</v>
      </c>
      <c r="O49" s="143" t="s">
        <v>329</v>
      </c>
      <c r="P49" s="100" t="s">
        <v>327</v>
      </c>
      <c r="Q49" s="143" t="s">
        <v>331</v>
      </c>
      <c r="R49" s="85" t="s">
        <v>330</v>
      </c>
      <c r="S49" s="100"/>
      <c r="T49" s="100"/>
      <c r="U49" s="100"/>
      <c r="V49" s="143" t="s">
        <v>329</v>
      </c>
      <c r="W49" s="128"/>
    </row>
    <row r="50" ht="14.25" spans="1:23">
      <c r="A50" s="76">
        <v>5</v>
      </c>
      <c r="B50" s="100" t="s">
        <v>333</v>
      </c>
      <c r="C50" s="100" t="s">
        <v>334</v>
      </c>
      <c r="D50" s="100" t="s">
        <v>335</v>
      </c>
      <c r="E50" s="100" t="s">
        <v>317</v>
      </c>
      <c r="F50" s="143" t="s">
        <v>318</v>
      </c>
      <c r="G50" s="85" t="s">
        <v>336</v>
      </c>
      <c r="H50" s="143" t="s">
        <v>332</v>
      </c>
      <c r="I50" s="100" t="s">
        <v>337</v>
      </c>
      <c r="J50" s="85" t="s">
        <v>322</v>
      </c>
      <c r="K50" s="100" t="s">
        <v>323</v>
      </c>
      <c r="L50" s="85" t="s">
        <v>324</v>
      </c>
      <c r="M50" s="100" t="s">
        <v>325</v>
      </c>
      <c r="N50" s="100" t="s">
        <v>326</v>
      </c>
      <c r="O50" s="100" t="s">
        <v>333</v>
      </c>
      <c r="P50" s="100" t="s">
        <v>327</v>
      </c>
      <c r="Q50" s="100" t="s">
        <v>335</v>
      </c>
      <c r="R50" s="100" t="s">
        <v>334</v>
      </c>
      <c r="S50" s="100"/>
      <c r="T50" s="100"/>
      <c r="U50" s="85"/>
      <c r="V50" s="100" t="s">
        <v>333</v>
      </c>
      <c r="W50" s="128"/>
    </row>
    <row r="51" ht="14.25" spans="1:23">
      <c r="A51" s="76">
        <v>6</v>
      </c>
      <c r="B51" s="100" t="s">
        <v>333</v>
      </c>
      <c r="C51" s="100" t="s">
        <v>334</v>
      </c>
      <c r="D51" s="100" t="s">
        <v>335</v>
      </c>
      <c r="E51" s="143" t="s">
        <v>338</v>
      </c>
      <c r="F51" s="143" t="s">
        <v>339</v>
      </c>
      <c r="G51" s="85" t="s">
        <v>336</v>
      </c>
      <c r="H51" s="143" t="s">
        <v>332</v>
      </c>
      <c r="I51" s="100" t="s">
        <v>337</v>
      </c>
      <c r="J51" s="85" t="s">
        <v>322</v>
      </c>
      <c r="K51" s="100" t="s">
        <v>323</v>
      </c>
      <c r="L51" s="85" t="s">
        <v>324</v>
      </c>
      <c r="M51" s="100" t="s">
        <v>325</v>
      </c>
      <c r="N51" s="100" t="s">
        <v>326</v>
      </c>
      <c r="O51" s="100" t="s">
        <v>335</v>
      </c>
      <c r="P51" s="100" t="s">
        <v>327</v>
      </c>
      <c r="Q51" s="100" t="s">
        <v>335</v>
      </c>
      <c r="R51" s="100" t="s">
        <v>334</v>
      </c>
      <c r="S51" s="100"/>
      <c r="T51" s="100"/>
      <c r="U51" s="85"/>
      <c r="V51" s="100" t="s">
        <v>335</v>
      </c>
      <c r="W51" s="128"/>
    </row>
    <row r="52" ht="14.25" spans="1:23">
      <c r="A52" s="76">
        <v>7</v>
      </c>
      <c r="B52" s="100" t="s">
        <v>340</v>
      </c>
      <c r="C52" s="85" t="s">
        <v>341</v>
      </c>
      <c r="D52" s="100" t="s">
        <v>342</v>
      </c>
      <c r="E52" s="143" t="s">
        <v>338</v>
      </c>
      <c r="F52" s="143" t="s">
        <v>339</v>
      </c>
      <c r="G52" s="85" t="s">
        <v>336</v>
      </c>
      <c r="H52" s="143" t="s">
        <v>343</v>
      </c>
      <c r="I52" s="100" t="s">
        <v>337</v>
      </c>
      <c r="J52" s="85" t="s">
        <v>322</v>
      </c>
      <c r="K52" s="100" t="s">
        <v>323</v>
      </c>
      <c r="L52" s="85" t="s">
        <v>324</v>
      </c>
      <c r="M52" s="100" t="s">
        <v>325</v>
      </c>
      <c r="N52" s="100" t="s">
        <v>326</v>
      </c>
      <c r="O52" s="100" t="s">
        <v>340</v>
      </c>
      <c r="P52" s="100" t="s">
        <v>327</v>
      </c>
      <c r="Q52" s="100" t="s">
        <v>342</v>
      </c>
      <c r="R52" s="85" t="s">
        <v>341</v>
      </c>
      <c r="S52" s="100"/>
      <c r="T52" s="100"/>
      <c r="U52" s="143"/>
      <c r="V52" s="100" t="s">
        <v>340</v>
      </c>
      <c r="W52" s="128"/>
    </row>
    <row r="53" ht="14.25" spans="1:23">
      <c r="A53" s="76">
        <v>8</v>
      </c>
      <c r="B53" s="100" t="s">
        <v>340</v>
      </c>
      <c r="C53" s="85" t="s">
        <v>341</v>
      </c>
      <c r="D53" s="100" t="s">
        <v>342</v>
      </c>
      <c r="E53" s="143" t="s">
        <v>338</v>
      </c>
      <c r="F53" s="143" t="s">
        <v>339</v>
      </c>
      <c r="G53" s="85" t="s">
        <v>336</v>
      </c>
      <c r="H53" s="143" t="s">
        <v>343</v>
      </c>
      <c r="I53" s="100" t="s">
        <v>337</v>
      </c>
      <c r="J53" s="85" t="s">
        <v>322</v>
      </c>
      <c r="K53" s="100" t="s">
        <v>323</v>
      </c>
      <c r="L53" s="85" t="s">
        <v>324</v>
      </c>
      <c r="M53" s="100" t="s">
        <v>325</v>
      </c>
      <c r="N53" s="100" t="s">
        <v>326</v>
      </c>
      <c r="O53" s="85" t="s">
        <v>341</v>
      </c>
      <c r="P53" s="100" t="s">
        <v>327</v>
      </c>
      <c r="Q53" s="100" t="s">
        <v>342</v>
      </c>
      <c r="R53" s="85" t="s">
        <v>341</v>
      </c>
      <c r="S53" s="100"/>
      <c r="T53" s="100"/>
      <c r="U53" s="85"/>
      <c r="V53" s="85" t="s">
        <v>341</v>
      </c>
      <c r="W53" s="128"/>
    </row>
    <row r="54" ht="14.25" spans="1:23">
      <c r="A54" s="76">
        <v>9</v>
      </c>
      <c r="B54" s="100" t="s">
        <v>344</v>
      </c>
      <c r="C54" s="100" t="s">
        <v>345</v>
      </c>
      <c r="D54" s="100" t="s">
        <v>346</v>
      </c>
      <c r="E54" s="143" t="s">
        <v>338</v>
      </c>
      <c r="F54" s="143" t="s">
        <v>339</v>
      </c>
      <c r="G54" s="85" t="s">
        <v>347</v>
      </c>
      <c r="H54" s="143" t="s">
        <v>343</v>
      </c>
      <c r="I54" s="100" t="s">
        <v>348</v>
      </c>
      <c r="J54" s="85" t="s">
        <v>322</v>
      </c>
      <c r="K54" s="100" t="s">
        <v>323</v>
      </c>
      <c r="L54" s="85" t="s">
        <v>324</v>
      </c>
      <c r="M54" s="100" t="s">
        <v>325</v>
      </c>
      <c r="N54" s="100" t="s">
        <v>326</v>
      </c>
      <c r="O54" s="100" t="s">
        <v>344</v>
      </c>
      <c r="P54" s="100" t="s">
        <v>349</v>
      </c>
      <c r="Q54" s="100" t="s">
        <v>346</v>
      </c>
      <c r="R54" s="100" t="s">
        <v>345</v>
      </c>
      <c r="S54" s="100"/>
      <c r="T54" s="122"/>
      <c r="U54" s="100"/>
      <c r="V54" s="100" t="s">
        <v>344</v>
      </c>
      <c r="W54" s="128"/>
    </row>
    <row r="55" ht="14.25" spans="1:23">
      <c r="A55" s="76">
        <v>10</v>
      </c>
      <c r="B55" s="100" t="s">
        <v>344</v>
      </c>
      <c r="C55" s="100" t="s">
        <v>345</v>
      </c>
      <c r="D55" s="100" t="s">
        <v>346</v>
      </c>
      <c r="E55" s="143" t="s">
        <v>350</v>
      </c>
      <c r="F55" s="143" t="s">
        <v>339</v>
      </c>
      <c r="G55" s="85" t="s">
        <v>347</v>
      </c>
      <c r="H55" s="143" t="s">
        <v>343</v>
      </c>
      <c r="I55" s="100" t="s">
        <v>348</v>
      </c>
      <c r="J55" s="85" t="s">
        <v>322</v>
      </c>
      <c r="K55" s="100" t="s">
        <v>323</v>
      </c>
      <c r="L55" s="85" t="s">
        <v>324</v>
      </c>
      <c r="M55" s="100" t="s">
        <v>325</v>
      </c>
      <c r="N55" s="100" t="s">
        <v>326</v>
      </c>
      <c r="O55" s="100" t="s">
        <v>346</v>
      </c>
      <c r="P55" s="100" t="s">
        <v>349</v>
      </c>
      <c r="Q55" s="100" t="s">
        <v>346</v>
      </c>
      <c r="R55" s="100" t="s">
        <v>345</v>
      </c>
      <c r="S55" s="100"/>
      <c r="T55" s="122"/>
      <c r="U55" s="100"/>
      <c r="V55" s="100" t="s">
        <v>346</v>
      </c>
      <c r="W55" s="128"/>
    </row>
    <row r="56" ht="14.25" spans="1:23">
      <c r="A56" s="76">
        <v>11</v>
      </c>
      <c r="B56" s="100" t="s">
        <v>351</v>
      </c>
      <c r="C56" s="85" t="s">
        <v>352</v>
      </c>
      <c r="D56" s="143" t="s">
        <v>353</v>
      </c>
      <c r="E56" s="143" t="s">
        <v>350</v>
      </c>
      <c r="F56" s="143" t="s">
        <v>339</v>
      </c>
      <c r="G56" s="85" t="s">
        <v>347</v>
      </c>
      <c r="H56" s="143" t="s">
        <v>354</v>
      </c>
      <c r="I56" s="100" t="s">
        <v>348</v>
      </c>
      <c r="J56" s="85" t="s">
        <v>322</v>
      </c>
      <c r="K56" s="100" t="s">
        <v>323</v>
      </c>
      <c r="L56" s="91" t="s">
        <v>193</v>
      </c>
      <c r="M56" s="100" t="s">
        <v>325</v>
      </c>
      <c r="N56" s="100" t="s">
        <v>326</v>
      </c>
      <c r="O56" s="85" t="s">
        <v>347</v>
      </c>
      <c r="P56" s="100" t="s">
        <v>349</v>
      </c>
      <c r="Q56" s="143" t="s">
        <v>353</v>
      </c>
      <c r="R56" s="85" t="s">
        <v>352</v>
      </c>
      <c r="S56" s="100"/>
      <c r="T56" s="122"/>
      <c r="U56" s="143"/>
      <c r="V56" s="85" t="s">
        <v>347</v>
      </c>
      <c r="W56" s="128"/>
    </row>
    <row r="57" ht="14.25" spans="1:23">
      <c r="A57" s="76">
        <v>12</v>
      </c>
      <c r="B57" s="100" t="s">
        <v>351</v>
      </c>
      <c r="C57" s="85" t="s">
        <v>352</v>
      </c>
      <c r="D57" s="143" t="s">
        <v>353</v>
      </c>
      <c r="E57" s="143" t="s">
        <v>350</v>
      </c>
      <c r="F57" s="143" t="s">
        <v>355</v>
      </c>
      <c r="G57" s="85" t="s">
        <v>347</v>
      </c>
      <c r="H57" s="143" t="s">
        <v>354</v>
      </c>
      <c r="I57" s="100" t="s">
        <v>348</v>
      </c>
      <c r="J57" s="85" t="s">
        <v>322</v>
      </c>
      <c r="K57" s="100" t="s">
        <v>323</v>
      </c>
      <c r="L57" s="91" t="s">
        <v>193</v>
      </c>
      <c r="M57" s="100" t="s">
        <v>325</v>
      </c>
      <c r="N57" s="100" t="s">
        <v>326</v>
      </c>
      <c r="O57" s="85" t="s">
        <v>352</v>
      </c>
      <c r="P57" s="100" t="s">
        <v>349</v>
      </c>
      <c r="Q57" s="143" t="s">
        <v>353</v>
      </c>
      <c r="R57" s="85" t="s">
        <v>352</v>
      </c>
      <c r="S57" s="100"/>
      <c r="T57" s="122"/>
      <c r="U57" s="143"/>
      <c r="V57" s="85" t="s">
        <v>352</v>
      </c>
      <c r="W57" s="128"/>
    </row>
    <row r="58" ht="14.25" spans="1:23">
      <c r="A58" s="76">
        <v>13</v>
      </c>
      <c r="B58" s="85" t="s">
        <v>356</v>
      </c>
      <c r="C58" s="85" t="s">
        <v>357</v>
      </c>
      <c r="D58" s="85" t="s">
        <v>358</v>
      </c>
      <c r="E58" s="143" t="s">
        <v>350</v>
      </c>
      <c r="F58" s="143" t="s">
        <v>355</v>
      </c>
      <c r="G58" s="143" t="s">
        <v>359</v>
      </c>
      <c r="H58" s="143" t="s">
        <v>354</v>
      </c>
      <c r="I58" s="82" t="s">
        <v>360</v>
      </c>
      <c r="J58" s="85" t="s">
        <v>322</v>
      </c>
      <c r="K58" s="100" t="s">
        <v>323</v>
      </c>
      <c r="L58" s="91" t="s">
        <v>193</v>
      </c>
      <c r="M58" s="143" t="s">
        <v>361</v>
      </c>
      <c r="N58" s="100" t="s">
        <v>326</v>
      </c>
      <c r="O58" s="85" t="s">
        <v>357</v>
      </c>
      <c r="P58" s="100" t="s">
        <v>362</v>
      </c>
      <c r="Q58" s="85" t="s">
        <v>358</v>
      </c>
      <c r="R58" s="85" t="s">
        <v>357</v>
      </c>
      <c r="S58" s="100"/>
      <c r="T58" s="122"/>
      <c r="U58" s="143"/>
      <c r="V58" s="85" t="s">
        <v>357</v>
      </c>
      <c r="W58" s="128"/>
    </row>
    <row r="59" ht="14.25" spans="1:23">
      <c r="A59" s="76">
        <v>14</v>
      </c>
      <c r="B59" s="85" t="s">
        <v>356</v>
      </c>
      <c r="C59" s="85" t="s">
        <v>357</v>
      </c>
      <c r="D59" s="85" t="s">
        <v>358</v>
      </c>
      <c r="E59" s="143" t="s">
        <v>350</v>
      </c>
      <c r="F59" s="143" t="s">
        <v>355</v>
      </c>
      <c r="G59" s="143" t="s">
        <v>363</v>
      </c>
      <c r="H59" s="143" t="s">
        <v>354</v>
      </c>
      <c r="I59" s="82" t="s">
        <v>360</v>
      </c>
      <c r="J59" s="85" t="s">
        <v>364</v>
      </c>
      <c r="K59" s="100" t="s">
        <v>365</v>
      </c>
      <c r="L59" s="91" t="s">
        <v>193</v>
      </c>
      <c r="M59" s="143" t="s">
        <v>361</v>
      </c>
      <c r="N59" s="100" t="s">
        <v>326</v>
      </c>
      <c r="O59" s="85" t="s">
        <v>358</v>
      </c>
      <c r="P59" s="100" t="s">
        <v>362</v>
      </c>
      <c r="Q59" s="85" t="s">
        <v>358</v>
      </c>
      <c r="R59" s="85" t="s">
        <v>357</v>
      </c>
      <c r="S59" s="100"/>
      <c r="T59" s="122"/>
      <c r="U59" s="100"/>
      <c r="V59" s="85" t="s">
        <v>358</v>
      </c>
      <c r="W59" s="128"/>
    </row>
    <row r="60" ht="14.25" spans="1:23">
      <c r="A60" s="76">
        <v>15</v>
      </c>
      <c r="B60" s="100" t="s">
        <v>366</v>
      </c>
      <c r="C60" s="100" t="s">
        <v>367</v>
      </c>
      <c r="D60" s="100" t="s">
        <v>368</v>
      </c>
      <c r="E60" s="143" t="s">
        <v>350</v>
      </c>
      <c r="F60" s="143" t="s">
        <v>355</v>
      </c>
      <c r="G60" s="143" t="s">
        <v>363</v>
      </c>
      <c r="H60" s="143" t="s">
        <v>369</v>
      </c>
      <c r="I60" s="82" t="s">
        <v>360</v>
      </c>
      <c r="J60" s="85" t="s">
        <v>364</v>
      </c>
      <c r="K60" s="100" t="s">
        <v>365</v>
      </c>
      <c r="L60" s="91" t="s">
        <v>193</v>
      </c>
      <c r="M60" s="143" t="s">
        <v>361</v>
      </c>
      <c r="N60" s="100" t="s">
        <v>326</v>
      </c>
      <c r="O60" s="100" t="s">
        <v>367</v>
      </c>
      <c r="P60" s="100" t="s">
        <v>370</v>
      </c>
      <c r="Q60" s="100" t="s">
        <v>368</v>
      </c>
      <c r="R60" s="100" t="s">
        <v>367</v>
      </c>
      <c r="S60" s="100"/>
      <c r="T60" s="122"/>
      <c r="U60" s="100"/>
      <c r="V60" s="100" t="s">
        <v>367</v>
      </c>
      <c r="W60" s="128"/>
    </row>
    <row r="61" ht="14.25" spans="1:23">
      <c r="A61" s="76">
        <v>16</v>
      </c>
      <c r="B61" s="100" t="s">
        <v>366</v>
      </c>
      <c r="C61" s="100" t="s">
        <v>367</v>
      </c>
      <c r="D61" s="100" t="s">
        <v>368</v>
      </c>
      <c r="E61" s="100" t="s">
        <v>371</v>
      </c>
      <c r="F61" s="143" t="s">
        <v>355</v>
      </c>
      <c r="G61" s="143" t="s">
        <v>363</v>
      </c>
      <c r="H61" s="143" t="s">
        <v>369</v>
      </c>
      <c r="I61" s="101" t="s">
        <v>217</v>
      </c>
      <c r="J61" s="85" t="s">
        <v>364</v>
      </c>
      <c r="K61" s="100" t="s">
        <v>365</v>
      </c>
      <c r="L61" s="91" t="s">
        <v>193</v>
      </c>
      <c r="M61" s="143" t="s">
        <v>361</v>
      </c>
      <c r="N61" s="100" t="s">
        <v>326</v>
      </c>
      <c r="O61" s="100" t="s">
        <v>368</v>
      </c>
      <c r="P61" s="100" t="s">
        <v>370</v>
      </c>
      <c r="Q61" s="100" t="s">
        <v>368</v>
      </c>
      <c r="R61" s="100" t="s">
        <v>367</v>
      </c>
      <c r="S61" s="100"/>
      <c r="T61" s="122"/>
      <c r="U61" s="100"/>
      <c r="V61" s="100" t="s">
        <v>368</v>
      </c>
      <c r="W61" s="128"/>
    </row>
    <row r="62" ht="14.25" spans="1:23">
      <c r="A62" s="76">
        <v>17</v>
      </c>
      <c r="B62" s="88" t="s">
        <v>372</v>
      </c>
      <c r="C62" s="100" t="s">
        <v>373</v>
      </c>
      <c r="D62" s="100" t="s">
        <v>374</v>
      </c>
      <c r="E62" s="100" t="s">
        <v>371</v>
      </c>
      <c r="F62" s="143" t="s">
        <v>355</v>
      </c>
      <c r="G62" s="143" t="s">
        <v>363</v>
      </c>
      <c r="H62" s="143" t="s">
        <v>369</v>
      </c>
      <c r="I62" s="145" t="s">
        <v>375</v>
      </c>
      <c r="J62" s="85" t="s">
        <v>364</v>
      </c>
      <c r="K62" s="100" t="s">
        <v>365</v>
      </c>
      <c r="L62" s="91" t="s">
        <v>285</v>
      </c>
      <c r="M62" s="143" t="s">
        <v>361</v>
      </c>
      <c r="N62" s="100" t="s">
        <v>376</v>
      </c>
      <c r="O62" s="88" t="s">
        <v>372</v>
      </c>
      <c r="P62" s="85" t="s">
        <v>377</v>
      </c>
      <c r="Q62" s="100" t="s">
        <v>374</v>
      </c>
      <c r="R62" s="100" t="s">
        <v>373</v>
      </c>
      <c r="S62" s="100"/>
      <c r="T62" s="122"/>
      <c r="U62" s="100"/>
      <c r="V62" s="88" t="s">
        <v>372</v>
      </c>
      <c r="W62" s="128"/>
    </row>
    <row r="63" ht="14.25" spans="1:23">
      <c r="A63" s="76">
        <v>18</v>
      </c>
      <c r="B63" s="88" t="s">
        <v>372</v>
      </c>
      <c r="C63" s="100" t="s">
        <v>373</v>
      </c>
      <c r="D63" s="100" t="s">
        <v>374</v>
      </c>
      <c r="E63" s="100" t="s">
        <v>371</v>
      </c>
      <c r="F63" s="143" t="s">
        <v>378</v>
      </c>
      <c r="G63" s="88" t="s">
        <v>379</v>
      </c>
      <c r="H63" s="143" t="s">
        <v>369</v>
      </c>
      <c r="I63" s="145" t="s">
        <v>375</v>
      </c>
      <c r="J63" s="85" t="s">
        <v>364</v>
      </c>
      <c r="K63" s="100" t="s">
        <v>365</v>
      </c>
      <c r="L63" s="91" t="s">
        <v>285</v>
      </c>
      <c r="M63" s="143" t="s">
        <v>361</v>
      </c>
      <c r="N63" s="100" t="s">
        <v>376</v>
      </c>
      <c r="O63" s="143" t="s">
        <v>378</v>
      </c>
      <c r="P63" s="85" t="s">
        <v>377</v>
      </c>
      <c r="Q63" s="100" t="s">
        <v>374</v>
      </c>
      <c r="R63" s="100" t="s">
        <v>373</v>
      </c>
      <c r="S63" s="100"/>
      <c r="T63" s="122"/>
      <c r="U63" s="100"/>
      <c r="V63" s="143" t="s">
        <v>378</v>
      </c>
      <c r="W63" s="128"/>
    </row>
    <row r="64" ht="14.25" spans="1:23">
      <c r="A64" s="76">
        <v>19</v>
      </c>
      <c r="B64" s="100" t="s">
        <v>380</v>
      </c>
      <c r="C64" s="85" t="s">
        <v>381</v>
      </c>
      <c r="D64" s="100" t="s">
        <v>382</v>
      </c>
      <c r="E64" s="100" t="s">
        <v>371</v>
      </c>
      <c r="F64" s="143" t="s">
        <v>378</v>
      </c>
      <c r="G64" s="88" t="s">
        <v>379</v>
      </c>
      <c r="H64" s="143" t="s">
        <v>383</v>
      </c>
      <c r="I64" s="145" t="s">
        <v>375</v>
      </c>
      <c r="J64" s="85" t="s">
        <v>364</v>
      </c>
      <c r="K64" s="100" t="s">
        <v>365</v>
      </c>
      <c r="L64" s="91" t="s">
        <v>285</v>
      </c>
      <c r="M64" s="143" t="s">
        <v>361</v>
      </c>
      <c r="N64" s="100" t="s">
        <v>376</v>
      </c>
      <c r="O64" s="85" t="s">
        <v>381</v>
      </c>
      <c r="P64" s="85" t="s">
        <v>377</v>
      </c>
      <c r="Q64" s="100" t="s">
        <v>382</v>
      </c>
      <c r="R64" s="85" t="s">
        <v>381</v>
      </c>
      <c r="S64" s="100"/>
      <c r="T64" s="122"/>
      <c r="U64" s="143"/>
      <c r="V64" s="85" t="s">
        <v>381</v>
      </c>
      <c r="W64" s="128"/>
    </row>
    <row r="65" ht="14.25" spans="1:23">
      <c r="A65" s="76">
        <v>20</v>
      </c>
      <c r="B65" s="100" t="s">
        <v>380</v>
      </c>
      <c r="C65" s="85" t="s">
        <v>381</v>
      </c>
      <c r="D65" s="100" t="s">
        <v>382</v>
      </c>
      <c r="E65" s="100" t="s">
        <v>371</v>
      </c>
      <c r="F65" s="143" t="s">
        <v>378</v>
      </c>
      <c r="G65" s="88" t="s">
        <v>379</v>
      </c>
      <c r="H65" s="143" t="s">
        <v>383</v>
      </c>
      <c r="I65" s="145" t="s">
        <v>375</v>
      </c>
      <c r="J65" s="85" t="s">
        <v>364</v>
      </c>
      <c r="K65" s="100" t="s">
        <v>365</v>
      </c>
      <c r="L65" s="91" t="s">
        <v>285</v>
      </c>
      <c r="M65" s="143" t="s">
        <v>361</v>
      </c>
      <c r="N65" s="100" t="s">
        <v>376</v>
      </c>
      <c r="O65" s="100" t="s">
        <v>371</v>
      </c>
      <c r="P65" s="85" t="s">
        <v>377</v>
      </c>
      <c r="Q65" s="100" t="s">
        <v>382</v>
      </c>
      <c r="R65" s="85" t="s">
        <v>381</v>
      </c>
      <c r="S65" s="100"/>
      <c r="T65" s="122"/>
      <c r="U65" s="100"/>
      <c r="V65" s="100" t="s">
        <v>371</v>
      </c>
      <c r="W65" s="128"/>
    </row>
    <row r="66" ht="14.25" spans="1:23">
      <c r="A66" s="76">
        <v>21</v>
      </c>
      <c r="B66" s="88" t="s">
        <v>384</v>
      </c>
      <c r="C66" s="100" t="s">
        <v>385</v>
      </c>
      <c r="D66" s="100" t="s">
        <v>386</v>
      </c>
      <c r="E66" s="100" t="s">
        <v>387</v>
      </c>
      <c r="F66" s="143" t="s">
        <v>378</v>
      </c>
      <c r="G66" s="88" t="s">
        <v>379</v>
      </c>
      <c r="H66" s="143" t="s">
        <v>383</v>
      </c>
      <c r="I66" s="100" t="s">
        <v>201</v>
      </c>
      <c r="J66" s="85" t="s">
        <v>364</v>
      </c>
      <c r="K66" s="100" t="s">
        <v>365</v>
      </c>
      <c r="L66" s="85" t="s">
        <v>388</v>
      </c>
      <c r="M66" s="143" t="s">
        <v>361</v>
      </c>
      <c r="N66" s="100" t="s">
        <v>376</v>
      </c>
      <c r="O66" s="100" t="s">
        <v>387</v>
      </c>
      <c r="P66" s="85" t="s">
        <v>389</v>
      </c>
      <c r="Q66" s="100" t="s">
        <v>386</v>
      </c>
      <c r="R66" s="100" t="s">
        <v>385</v>
      </c>
      <c r="S66" s="100"/>
      <c r="T66" s="122"/>
      <c r="U66" s="100"/>
      <c r="V66" s="100" t="s">
        <v>387</v>
      </c>
      <c r="W66" s="128"/>
    </row>
    <row r="67" ht="14.25" spans="1:23">
      <c r="A67" s="76">
        <v>22</v>
      </c>
      <c r="B67" s="88" t="s">
        <v>384</v>
      </c>
      <c r="C67" s="100" t="s">
        <v>385</v>
      </c>
      <c r="D67" s="100" t="s">
        <v>386</v>
      </c>
      <c r="E67" s="100" t="s">
        <v>387</v>
      </c>
      <c r="F67" s="143" t="s">
        <v>378</v>
      </c>
      <c r="G67" s="85" t="s">
        <v>390</v>
      </c>
      <c r="H67" s="143" t="s">
        <v>383</v>
      </c>
      <c r="I67" s="100" t="s">
        <v>201</v>
      </c>
      <c r="J67" s="85" t="s">
        <v>364</v>
      </c>
      <c r="K67" s="100" t="s">
        <v>365</v>
      </c>
      <c r="L67" s="85" t="s">
        <v>388</v>
      </c>
      <c r="M67" s="143" t="s">
        <v>361</v>
      </c>
      <c r="N67" s="100" t="s">
        <v>376</v>
      </c>
      <c r="O67" s="100" t="s">
        <v>386</v>
      </c>
      <c r="P67" s="85" t="s">
        <v>389</v>
      </c>
      <c r="Q67" s="100" t="s">
        <v>386</v>
      </c>
      <c r="R67" s="100" t="s">
        <v>385</v>
      </c>
      <c r="S67" s="100"/>
      <c r="T67" s="122"/>
      <c r="U67" s="100"/>
      <c r="V67" s="100" t="s">
        <v>386</v>
      </c>
      <c r="W67" s="128"/>
    </row>
    <row r="68" ht="14.25" spans="1:23">
      <c r="A68" s="76">
        <v>23</v>
      </c>
      <c r="B68" s="100" t="s">
        <v>391</v>
      </c>
      <c r="C68" s="143" t="s">
        <v>392</v>
      </c>
      <c r="D68" s="100" t="s">
        <v>393</v>
      </c>
      <c r="E68" s="100" t="s">
        <v>387</v>
      </c>
      <c r="F68" s="100" t="s">
        <v>394</v>
      </c>
      <c r="G68" s="85" t="s">
        <v>390</v>
      </c>
      <c r="H68" s="129" t="s">
        <v>395</v>
      </c>
      <c r="I68" s="100" t="s">
        <v>396</v>
      </c>
      <c r="J68" s="85" t="s">
        <v>364</v>
      </c>
      <c r="K68" s="100" t="s">
        <v>365</v>
      </c>
      <c r="L68" s="85" t="s">
        <v>388</v>
      </c>
      <c r="M68" s="143" t="s">
        <v>361</v>
      </c>
      <c r="N68" s="100" t="s">
        <v>376</v>
      </c>
      <c r="O68" s="143" t="s">
        <v>392</v>
      </c>
      <c r="P68" s="85" t="s">
        <v>389</v>
      </c>
      <c r="Q68" s="100" t="s">
        <v>393</v>
      </c>
      <c r="R68" s="143" t="s">
        <v>392</v>
      </c>
      <c r="S68" s="100"/>
      <c r="T68" s="122"/>
      <c r="U68" s="100"/>
      <c r="V68" s="143" t="s">
        <v>392</v>
      </c>
      <c r="W68" s="128"/>
    </row>
    <row r="69" ht="14.25" spans="1:23">
      <c r="A69" s="76">
        <v>24</v>
      </c>
      <c r="B69" s="100" t="s">
        <v>391</v>
      </c>
      <c r="C69" s="143" t="s">
        <v>392</v>
      </c>
      <c r="D69" s="100" t="s">
        <v>393</v>
      </c>
      <c r="E69" s="100" t="s">
        <v>387</v>
      </c>
      <c r="F69" s="100" t="s">
        <v>394</v>
      </c>
      <c r="G69" s="85" t="s">
        <v>390</v>
      </c>
      <c r="H69" s="129" t="s">
        <v>395</v>
      </c>
      <c r="I69" s="100" t="s">
        <v>396</v>
      </c>
      <c r="J69" s="85" t="s">
        <v>364</v>
      </c>
      <c r="K69" s="100" t="s">
        <v>365</v>
      </c>
      <c r="L69" s="85" t="s">
        <v>388</v>
      </c>
      <c r="M69" s="143" t="s">
        <v>361</v>
      </c>
      <c r="N69" s="100" t="s">
        <v>376</v>
      </c>
      <c r="O69" s="85" t="s">
        <v>390</v>
      </c>
      <c r="P69" s="85" t="s">
        <v>389</v>
      </c>
      <c r="Q69" s="100" t="s">
        <v>393</v>
      </c>
      <c r="R69" s="143" t="s">
        <v>392</v>
      </c>
      <c r="S69" s="100"/>
      <c r="T69" s="122"/>
      <c r="U69" s="100"/>
      <c r="V69" s="85" t="s">
        <v>390</v>
      </c>
      <c r="W69" s="128"/>
    </row>
    <row r="70" ht="14.25" spans="1:23">
      <c r="A70" s="76">
        <v>25</v>
      </c>
      <c r="B70" s="100" t="s">
        <v>397</v>
      </c>
      <c r="C70" s="85" t="s">
        <v>398</v>
      </c>
      <c r="D70" s="85" t="s">
        <v>399</v>
      </c>
      <c r="E70" s="100" t="s">
        <v>387</v>
      </c>
      <c r="F70" s="100" t="s">
        <v>394</v>
      </c>
      <c r="G70" s="85" t="s">
        <v>390</v>
      </c>
      <c r="H70" s="129" t="s">
        <v>395</v>
      </c>
      <c r="I70" s="100" t="s">
        <v>396</v>
      </c>
      <c r="J70" s="85" t="s">
        <v>364</v>
      </c>
      <c r="K70" s="100" t="s">
        <v>365</v>
      </c>
      <c r="L70" s="85" t="s">
        <v>388</v>
      </c>
      <c r="M70" s="143" t="s">
        <v>361</v>
      </c>
      <c r="N70" s="100" t="s">
        <v>376</v>
      </c>
      <c r="O70" s="100" t="s">
        <v>397</v>
      </c>
      <c r="P70" s="85" t="s">
        <v>389</v>
      </c>
      <c r="Q70" s="85" t="s">
        <v>399</v>
      </c>
      <c r="R70" s="85" t="s">
        <v>398</v>
      </c>
      <c r="S70" s="100"/>
      <c r="T70" s="122"/>
      <c r="U70" s="143"/>
      <c r="V70" s="100" t="s">
        <v>397</v>
      </c>
      <c r="W70" s="128"/>
    </row>
    <row r="71" ht="14.25" spans="1:23">
      <c r="A71" s="76">
        <v>26</v>
      </c>
      <c r="B71" s="100" t="s">
        <v>397</v>
      </c>
      <c r="C71" s="85" t="s">
        <v>398</v>
      </c>
      <c r="D71" s="85" t="s">
        <v>399</v>
      </c>
      <c r="E71" s="100" t="s">
        <v>387</v>
      </c>
      <c r="F71" s="100" t="s">
        <v>394</v>
      </c>
      <c r="G71" s="143" t="s">
        <v>400</v>
      </c>
      <c r="H71" s="146" t="s">
        <v>395</v>
      </c>
      <c r="I71" s="100" t="s">
        <v>396</v>
      </c>
      <c r="J71" s="85" t="s">
        <v>364</v>
      </c>
      <c r="K71" s="100" t="s">
        <v>365</v>
      </c>
      <c r="L71" s="85" t="s">
        <v>388</v>
      </c>
      <c r="M71" s="143" t="s">
        <v>361</v>
      </c>
      <c r="N71" s="100" t="s">
        <v>376</v>
      </c>
      <c r="O71" s="146" t="s">
        <v>395</v>
      </c>
      <c r="P71" s="85" t="s">
        <v>389</v>
      </c>
      <c r="Q71" s="85" t="s">
        <v>399</v>
      </c>
      <c r="R71" s="85" t="s">
        <v>398</v>
      </c>
      <c r="S71" s="100"/>
      <c r="T71" s="122"/>
      <c r="U71" s="85"/>
      <c r="V71" s="146" t="s">
        <v>395</v>
      </c>
      <c r="W71" s="128"/>
    </row>
    <row r="72" ht="14.25" spans="1:23">
      <c r="A72" s="75" t="s">
        <v>241</v>
      </c>
      <c r="B72" s="88" t="s">
        <v>384</v>
      </c>
      <c r="C72" s="147" t="s">
        <v>357</v>
      </c>
      <c r="D72" s="148" t="s">
        <v>358</v>
      </c>
      <c r="E72" s="149" t="s">
        <v>371</v>
      </c>
      <c r="F72" s="135" t="s">
        <v>355</v>
      </c>
      <c r="G72" s="100" t="s">
        <v>319</v>
      </c>
      <c r="H72" s="90" t="s">
        <v>369</v>
      </c>
      <c r="I72" s="150" t="s">
        <v>337</v>
      </c>
      <c r="J72" s="104"/>
      <c r="K72" s="104"/>
      <c r="L72" s="104"/>
      <c r="M72" s="104"/>
      <c r="N72" s="104"/>
      <c r="O72" s="104"/>
      <c r="P72" s="132"/>
      <c r="Q72" s="148"/>
      <c r="R72" s="151"/>
      <c r="S72" s="100" t="s">
        <v>401</v>
      </c>
      <c r="T72" s="100" t="s">
        <v>402</v>
      </c>
      <c r="U72" s="100"/>
      <c r="V72" s="100"/>
      <c r="W72" s="128"/>
    </row>
    <row r="73" ht="14.25" spans="1:23">
      <c r="A73" s="152" t="s">
        <v>242</v>
      </c>
      <c r="B73" s="97">
        <v>6</v>
      </c>
      <c r="C73" s="97">
        <v>5</v>
      </c>
      <c r="D73" s="97">
        <v>5</v>
      </c>
      <c r="E73" s="97">
        <v>2</v>
      </c>
      <c r="F73" s="97">
        <v>2</v>
      </c>
      <c r="G73" s="97">
        <v>3</v>
      </c>
      <c r="H73" s="104">
        <v>3</v>
      </c>
      <c r="I73" s="97">
        <v>3</v>
      </c>
      <c r="J73" s="97">
        <v>1</v>
      </c>
      <c r="K73" s="97">
        <v>1</v>
      </c>
      <c r="L73" s="97">
        <v>1</v>
      </c>
      <c r="M73" s="97">
        <v>0.5</v>
      </c>
      <c r="N73" s="97">
        <v>0.5</v>
      </c>
      <c r="O73" s="97">
        <v>1</v>
      </c>
      <c r="P73" s="97">
        <v>1</v>
      </c>
      <c r="Q73" s="130">
        <v>1</v>
      </c>
      <c r="R73" s="130">
        <v>2</v>
      </c>
      <c r="S73" s="85">
        <v>1</v>
      </c>
      <c r="T73" s="82">
        <v>1</v>
      </c>
      <c r="U73" s="153"/>
      <c r="V73" s="100">
        <v>40</v>
      </c>
      <c r="W73" s="82"/>
    </row>
    <row r="74" ht="14.25" spans="1:23">
      <c r="A74" s="126" t="s">
        <v>403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</row>
  </sheetData>
  <mergeCells count="8">
    <mergeCell ref="A1:V1"/>
    <mergeCell ref="A20:V20"/>
    <mergeCell ref="A43:W43"/>
    <mergeCell ref="A44:V44"/>
    <mergeCell ref="A74:W74"/>
    <mergeCell ref="V2:V17"/>
    <mergeCell ref="W21:W40"/>
    <mergeCell ref="W45:W7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5"/>
  <sheetViews>
    <sheetView tabSelected="1" zoomScale="85" zoomScaleNormal="85" topLeftCell="A31" workbookViewId="0">
      <selection activeCell="AV13" sqref="AV13"/>
    </sheetView>
  </sheetViews>
  <sheetFormatPr defaultColWidth="9" defaultRowHeight="12"/>
  <cols>
    <col min="1" max="1" width="11.875" style="9" customWidth="1"/>
    <col min="2" max="46" width="5" style="9" customWidth="1"/>
    <col min="47" max="47" width="17.125" style="10" customWidth="1"/>
    <col min="48" max="16384" width="9" style="10"/>
  </cols>
  <sheetData>
    <row r="1" ht="38.1" customHeight="1" spans="1:51">
      <c r="A1" s="11" t="s">
        <v>404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</row>
    <row r="2" s="1" customFormat="1" ht="21.95" customHeight="1" spans="1:51">
      <c r="A2" s="13" t="s">
        <v>1</v>
      </c>
      <c r="B2" s="14" t="s">
        <v>405</v>
      </c>
      <c r="C2" s="14"/>
      <c r="D2" s="14"/>
      <c r="E2" s="14"/>
      <c r="F2" s="14"/>
      <c r="G2" s="14"/>
      <c r="H2" s="14"/>
      <c r="I2" s="14"/>
      <c r="J2" s="14"/>
      <c r="K2" s="14" t="s">
        <v>406</v>
      </c>
      <c r="L2" s="14"/>
      <c r="M2" s="14"/>
      <c r="N2" s="14"/>
      <c r="O2" s="14"/>
      <c r="P2" s="14"/>
      <c r="Q2" s="14"/>
      <c r="R2" s="14"/>
      <c r="S2" s="14"/>
      <c r="T2" s="14" t="s">
        <v>407</v>
      </c>
      <c r="U2" s="14"/>
      <c r="V2" s="14"/>
      <c r="W2" s="14"/>
      <c r="X2" s="14"/>
      <c r="Y2" s="14"/>
      <c r="Z2" s="14"/>
      <c r="AA2" s="14"/>
      <c r="AB2" s="14"/>
      <c r="AC2" s="13" t="s">
        <v>408</v>
      </c>
      <c r="AD2" s="13"/>
      <c r="AE2" s="13"/>
      <c r="AF2" s="13"/>
      <c r="AG2" s="13"/>
      <c r="AH2" s="13"/>
      <c r="AI2" s="13"/>
      <c r="AJ2" s="13"/>
      <c r="AK2" s="15"/>
      <c r="AL2" s="13" t="s">
        <v>409</v>
      </c>
      <c r="AM2" s="13"/>
      <c r="AN2" s="13"/>
      <c r="AO2" s="13"/>
      <c r="AP2" s="13"/>
      <c r="AQ2" s="13"/>
      <c r="AR2" s="13"/>
      <c r="AS2" s="13"/>
      <c r="AT2" s="13"/>
    </row>
    <row r="3" s="2" customFormat="1" ht="21.95" hidden="1" customHeight="1" spans="1:51">
      <c r="A3" s="13" t="s">
        <v>7</v>
      </c>
      <c r="B3" s="13" t="s">
        <v>8</v>
      </c>
      <c r="C3" s="13"/>
      <c r="D3" s="13"/>
      <c r="E3" s="13"/>
      <c r="F3" s="13"/>
      <c r="G3" s="13" t="s">
        <v>9</v>
      </c>
      <c r="H3" s="13"/>
      <c r="I3" s="13"/>
      <c r="J3" s="13"/>
      <c r="K3" s="13" t="s">
        <v>8</v>
      </c>
      <c r="L3" s="13"/>
      <c r="M3" s="13"/>
      <c r="N3" s="13"/>
      <c r="O3" s="13"/>
      <c r="P3" s="13" t="s">
        <v>9</v>
      </c>
      <c r="Q3" s="13"/>
      <c r="R3" s="16"/>
      <c r="S3" s="13"/>
      <c r="T3" s="13" t="s">
        <v>8</v>
      </c>
      <c r="U3" s="13"/>
      <c r="V3" s="13"/>
      <c r="W3" s="13"/>
      <c r="X3" s="13"/>
      <c r="Y3" s="13" t="s">
        <v>9</v>
      </c>
      <c r="Z3" s="13"/>
      <c r="AA3" s="13"/>
      <c r="AB3" s="13"/>
      <c r="AC3" s="13" t="s">
        <v>8</v>
      </c>
      <c r="AD3" s="13"/>
      <c r="AE3" s="13"/>
      <c r="AF3" s="13"/>
      <c r="AG3" s="13"/>
      <c r="AH3" s="13" t="s">
        <v>9</v>
      </c>
      <c r="AI3" s="13"/>
      <c r="AJ3" s="13"/>
      <c r="AK3" s="15"/>
      <c r="AL3" s="13" t="s">
        <v>8</v>
      </c>
      <c r="AM3" s="13"/>
      <c r="AN3" s="13"/>
      <c r="AO3" s="13"/>
      <c r="AP3" s="13"/>
      <c r="AQ3" s="13" t="s">
        <v>9</v>
      </c>
      <c r="AR3" s="13"/>
      <c r="AS3" s="13"/>
      <c r="AT3" s="13"/>
    </row>
    <row r="4" s="3" customFormat="1" ht="21.95" hidden="1" customHeight="1" spans="1:51">
      <c r="A4" s="17" t="s">
        <v>30</v>
      </c>
      <c r="B4" s="17">
        <f t="shared" ref="B4:AT4" si="0">COUNTIF(B12:B43,"体")</f>
        <v>0</v>
      </c>
      <c r="C4" s="17">
        <f t="shared" si="0"/>
        <v>0</v>
      </c>
      <c r="D4" s="17">
        <f t="shared" si="0"/>
        <v>0</v>
      </c>
      <c r="E4" s="17">
        <f t="shared" si="0"/>
        <v>0</v>
      </c>
      <c r="F4" s="17">
        <f t="shared" si="0"/>
        <v>0</v>
      </c>
      <c r="G4" s="17">
        <f t="shared" si="0"/>
        <v>0</v>
      </c>
      <c r="H4" s="17">
        <f t="shared" si="0"/>
        <v>0</v>
      </c>
      <c r="I4" s="17">
        <f t="shared" si="0"/>
        <v>0</v>
      </c>
      <c r="J4" s="17">
        <f t="shared" si="0"/>
        <v>0</v>
      </c>
      <c r="K4" s="17">
        <f t="shared" si="0"/>
        <v>0</v>
      </c>
      <c r="L4" s="17">
        <f t="shared" si="0"/>
        <v>0</v>
      </c>
      <c r="M4" s="17">
        <f t="shared" si="0"/>
        <v>0</v>
      </c>
      <c r="N4" s="17">
        <f t="shared" si="0"/>
        <v>0</v>
      </c>
      <c r="O4" s="17">
        <f t="shared" si="0"/>
        <v>0</v>
      </c>
      <c r="P4" s="17">
        <f t="shared" si="0"/>
        <v>0</v>
      </c>
      <c r="Q4" s="17">
        <f t="shared" si="0"/>
        <v>0</v>
      </c>
      <c r="R4" s="17">
        <f t="shared" si="0"/>
        <v>0</v>
      </c>
      <c r="S4" s="17">
        <f t="shared" si="0"/>
        <v>0</v>
      </c>
      <c r="T4" s="17">
        <f t="shared" si="0"/>
        <v>0</v>
      </c>
      <c r="U4" s="17">
        <f t="shared" si="0"/>
        <v>0</v>
      </c>
      <c r="V4" s="17">
        <f t="shared" si="0"/>
        <v>0</v>
      </c>
      <c r="W4" s="17">
        <f t="shared" si="0"/>
        <v>0</v>
      </c>
      <c r="X4" s="17">
        <f t="shared" si="0"/>
        <v>0</v>
      </c>
      <c r="Y4" s="17">
        <f t="shared" si="0"/>
        <v>0</v>
      </c>
      <c r="Z4" s="17">
        <f t="shared" si="0"/>
        <v>0</v>
      </c>
      <c r="AA4" s="17">
        <f t="shared" si="0"/>
        <v>0</v>
      </c>
      <c r="AB4" s="17">
        <f t="shared" si="0"/>
        <v>0</v>
      </c>
      <c r="AC4" s="17">
        <f t="shared" si="0"/>
        <v>0</v>
      </c>
      <c r="AD4" s="17">
        <f t="shared" si="0"/>
        <v>0</v>
      </c>
      <c r="AE4" s="17">
        <f t="shared" si="0"/>
        <v>0</v>
      </c>
      <c r="AF4" s="17">
        <f t="shared" si="0"/>
        <v>0</v>
      </c>
      <c r="AG4" s="17">
        <f t="shared" si="0"/>
        <v>0</v>
      </c>
      <c r="AH4" s="17">
        <f t="shared" si="0"/>
        <v>0</v>
      </c>
      <c r="AI4" s="17">
        <f t="shared" si="0"/>
        <v>0</v>
      </c>
      <c r="AJ4" s="17">
        <f t="shared" si="0"/>
        <v>0</v>
      </c>
      <c r="AK4" s="18">
        <f t="shared" si="0"/>
        <v>0</v>
      </c>
      <c r="AL4" s="17">
        <f t="shared" si="0"/>
        <v>0</v>
      </c>
      <c r="AM4" s="17">
        <f t="shared" si="0"/>
        <v>0</v>
      </c>
      <c r="AN4" s="17">
        <f t="shared" si="0"/>
        <v>0</v>
      </c>
      <c r="AO4" s="17">
        <f t="shared" si="0"/>
        <v>0</v>
      </c>
      <c r="AP4" s="17">
        <f t="shared" si="0"/>
        <v>0</v>
      </c>
      <c r="AQ4" s="17">
        <f t="shared" si="0"/>
        <v>0</v>
      </c>
      <c r="AR4" s="17">
        <f t="shared" si="0"/>
        <v>0</v>
      </c>
      <c r="AS4" s="17">
        <f t="shared" si="0"/>
        <v>0</v>
      </c>
      <c r="AT4" s="17">
        <f t="shared" si="0"/>
        <v>0</v>
      </c>
    </row>
    <row r="5" s="3" customFormat="1" ht="21.95" hidden="1" customHeight="1" spans="1:51">
      <c r="A5" s="17" t="s">
        <v>410</v>
      </c>
      <c r="B5" s="17">
        <f t="shared" ref="B5:AT5" si="1">COUNTIF(B12:B44,"体心")</f>
        <v>0</v>
      </c>
      <c r="C5" s="17">
        <f t="shared" si="1"/>
        <v>0</v>
      </c>
      <c r="D5" s="17">
        <f t="shared" si="1"/>
        <v>0</v>
      </c>
      <c r="E5" s="17">
        <f t="shared" si="1"/>
        <v>0</v>
      </c>
      <c r="F5" s="17">
        <f t="shared" si="1"/>
        <v>0</v>
      </c>
      <c r="G5" s="17">
        <f t="shared" si="1"/>
        <v>0</v>
      </c>
      <c r="H5" s="17">
        <f t="shared" si="1"/>
        <v>0</v>
      </c>
      <c r="I5" s="17">
        <f t="shared" si="1"/>
        <v>0</v>
      </c>
      <c r="J5" s="17">
        <f t="shared" si="1"/>
        <v>0</v>
      </c>
      <c r="K5" s="17">
        <f t="shared" si="1"/>
        <v>0</v>
      </c>
      <c r="L5" s="17">
        <f t="shared" si="1"/>
        <v>0</v>
      </c>
      <c r="M5" s="17">
        <f t="shared" si="1"/>
        <v>0</v>
      </c>
      <c r="N5" s="17">
        <f t="shared" si="1"/>
        <v>0</v>
      </c>
      <c r="O5" s="17">
        <f t="shared" si="1"/>
        <v>0</v>
      </c>
      <c r="P5" s="17">
        <f t="shared" si="1"/>
        <v>0</v>
      </c>
      <c r="Q5" s="17">
        <f t="shared" si="1"/>
        <v>0</v>
      </c>
      <c r="R5" s="17">
        <f t="shared" si="1"/>
        <v>0</v>
      </c>
      <c r="S5" s="17">
        <f t="shared" si="1"/>
        <v>0</v>
      </c>
      <c r="T5" s="17">
        <f t="shared" si="1"/>
        <v>0</v>
      </c>
      <c r="U5" s="17">
        <f t="shared" si="1"/>
        <v>0</v>
      </c>
      <c r="V5" s="17">
        <f t="shared" si="1"/>
        <v>0</v>
      </c>
      <c r="W5" s="17">
        <f t="shared" si="1"/>
        <v>0</v>
      </c>
      <c r="X5" s="17">
        <f t="shared" si="1"/>
        <v>0</v>
      </c>
      <c r="Y5" s="17">
        <f t="shared" si="1"/>
        <v>0</v>
      </c>
      <c r="Z5" s="17">
        <f t="shared" si="1"/>
        <v>0</v>
      </c>
      <c r="AA5" s="17">
        <f t="shared" si="1"/>
        <v>0</v>
      </c>
      <c r="AB5" s="17">
        <f t="shared" si="1"/>
        <v>0</v>
      </c>
      <c r="AC5" s="17">
        <f t="shared" si="1"/>
        <v>0</v>
      </c>
      <c r="AD5" s="17">
        <f t="shared" si="1"/>
        <v>0</v>
      </c>
      <c r="AE5" s="17">
        <f t="shared" si="1"/>
        <v>0</v>
      </c>
      <c r="AF5" s="17">
        <f t="shared" si="1"/>
        <v>0</v>
      </c>
      <c r="AG5" s="17">
        <f t="shared" si="1"/>
        <v>0</v>
      </c>
      <c r="AH5" s="17">
        <f t="shared" si="1"/>
        <v>0</v>
      </c>
      <c r="AI5" s="17">
        <f t="shared" si="1"/>
        <v>0</v>
      </c>
      <c r="AJ5" s="17">
        <f t="shared" si="1"/>
        <v>0</v>
      </c>
      <c r="AK5" s="18">
        <f t="shared" si="1"/>
        <v>0</v>
      </c>
      <c r="AL5" s="17">
        <f t="shared" si="1"/>
        <v>0</v>
      </c>
      <c r="AM5" s="17">
        <f t="shared" si="1"/>
        <v>0</v>
      </c>
      <c r="AN5" s="17">
        <f t="shared" si="1"/>
        <v>0</v>
      </c>
      <c r="AO5" s="17">
        <f t="shared" si="1"/>
        <v>0</v>
      </c>
      <c r="AP5" s="17">
        <f t="shared" si="1"/>
        <v>0</v>
      </c>
      <c r="AQ5" s="17">
        <f t="shared" si="1"/>
        <v>0</v>
      </c>
      <c r="AR5" s="17">
        <f t="shared" si="1"/>
        <v>0</v>
      </c>
      <c r="AS5" s="17">
        <f t="shared" si="1"/>
        <v>0</v>
      </c>
      <c r="AT5" s="17">
        <f t="shared" si="1"/>
        <v>0</v>
      </c>
    </row>
    <row r="6" s="3" customFormat="1" ht="21.95" hidden="1" customHeight="1" spans="1:51">
      <c r="A6" s="17" t="s">
        <v>411</v>
      </c>
      <c r="B6" s="17">
        <f t="shared" ref="B6:AT6" si="2">SUM(B4:B5)</f>
        <v>0</v>
      </c>
      <c r="C6" s="17">
        <f t="shared" si="2"/>
        <v>0</v>
      </c>
      <c r="D6" s="17">
        <f t="shared" si="2"/>
        <v>0</v>
      </c>
      <c r="E6" s="17">
        <f t="shared" si="2"/>
        <v>0</v>
      </c>
      <c r="F6" s="17">
        <f t="shared" si="2"/>
        <v>0</v>
      </c>
      <c r="G6" s="17">
        <f t="shared" si="2"/>
        <v>0</v>
      </c>
      <c r="H6" s="17">
        <f t="shared" si="2"/>
        <v>0</v>
      </c>
      <c r="I6" s="17">
        <f t="shared" si="2"/>
        <v>0</v>
      </c>
      <c r="J6" s="17">
        <f t="shared" si="2"/>
        <v>0</v>
      </c>
      <c r="K6" s="17">
        <f t="shared" si="2"/>
        <v>0</v>
      </c>
      <c r="L6" s="17">
        <f t="shared" si="2"/>
        <v>0</v>
      </c>
      <c r="M6" s="17">
        <f t="shared" si="2"/>
        <v>0</v>
      </c>
      <c r="N6" s="17">
        <f t="shared" si="2"/>
        <v>0</v>
      </c>
      <c r="O6" s="17">
        <f t="shared" si="2"/>
        <v>0</v>
      </c>
      <c r="P6" s="17">
        <f t="shared" si="2"/>
        <v>0</v>
      </c>
      <c r="Q6" s="17">
        <f t="shared" si="2"/>
        <v>0</v>
      </c>
      <c r="R6" s="17">
        <f t="shared" si="2"/>
        <v>0</v>
      </c>
      <c r="S6" s="17">
        <f t="shared" si="2"/>
        <v>0</v>
      </c>
      <c r="T6" s="17">
        <f t="shared" si="2"/>
        <v>0</v>
      </c>
      <c r="U6" s="17">
        <f t="shared" si="2"/>
        <v>0</v>
      </c>
      <c r="V6" s="17">
        <f t="shared" si="2"/>
        <v>0</v>
      </c>
      <c r="W6" s="17">
        <f t="shared" si="2"/>
        <v>0</v>
      </c>
      <c r="X6" s="17">
        <f t="shared" si="2"/>
        <v>0</v>
      </c>
      <c r="Y6" s="17">
        <f t="shared" si="2"/>
        <v>0</v>
      </c>
      <c r="Z6" s="17">
        <f t="shared" si="2"/>
        <v>0</v>
      </c>
      <c r="AA6" s="17">
        <f t="shared" si="2"/>
        <v>0</v>
      </c>
      <c r="AB6" s="17">
        <f t="shared" si="2"/>
        <v>0</v>
      </c>
      <c r="AC6" s="17">
        <f t="shared" si="2"/>
        <v>0</v>
      </c>
      <c r="AD6" s="17">
        <f t="shared" si="2"/>
        <v>0</v>
      </c>
      <c r="AE6" s="17">
        <f t="shared" si="2"/>
        <v>0</v>
      </c>
      <c r="AF6" s="17">
        <f t="shared" si="2"/>
        <v>0</v>
      </c>
      <c r="AG6" s="17">
        <f t="shared" si="2"/>
        <v>0</v>
      </c>
      <c r="AH6" s="17">
        <f t="shared" si="2"/>
        <v>0</v>
      </c>
      <c r="AI6" s="17">
        <f t="shared" si="2"/>
        <v>0</v>
      </c>
      <c r="AJ6" s="17">
        <f t="shared" si="2"/>
        <v>0</v>
      </c>
      <c r="AK6" s="18">
        <f t="shared" si="2"/>
        <v>0</v>
      </c>
      <c r="AL6" s="17">
        <f t="shared" si="2"/>
        <v>0</v>
      </c>
      <c r="AM6" s="17">
        <f t="shared" si="2"/>
        <v>0</v>
      </c>
      <c r="AN6" s="17">
        <f t="shared" si="2"/>
        <v>0</v>
      </c>
      <c r="AO6" s="17">
        <f t="shared" si="2"/>
        <v>0</v>
      </c>
      <c r="AP6" s="17">
        <f t="shared" si="2"/>
        <v>0</v>
      </c>
      <c r="AQ6" s="17">
        <f t="shared" si="2"/>
        <v>0</v>
      </c>
      <c r="AR6" s="17">
        <f t="shared" si="2"/>
        <v>0</v>
      </c>
      <c r="AS6" s="17">
        <f t="shared" si="2"/>
        <v>0</v>
      </c>
      <c r="AT6" s="17">
        <f t="shared" si="2"/>
        <v>0</v>
      </c>
    </row>
    <row r="7" s="4" customFormat="1" ht="21.95" hidden="1" customHeight="1" spans="1:51">
      <c r="A7" s="17" t="s">
        <v>39</v>
      </c>
      <c r="B7" s="17">
        <f t="shared" ref="B7:AT7" si="3">COUNTIF(B12:B43,"信")</f>
        <v>0</v>
      </c>
      <c r="C7" s="17">
        <f t="shared" si="3"/>
        <v>0</v>
      </c>
      <c r="D7" s="17">
        <f t="shared" si="3"/>
        <v>0</v>
      </c>
      <c r="E7" s="17">
        <f t="shared" si="3"/>
        <v>0</v>
      </c>
      <c r="F7" s="17">
        <f t="shared" si="3"/>
        <v>0</v>
      </c>
      <c r="G7" s="17">
        <f t="shared" si="3"/>
        <v>0</v>
      </c>
      <c r="H7" s="17">
        <f t="shared" si="3"/>
        <v>0</v>
      </c>
      <c r="I7" s="17">
        <f t="shared" si="3"/>
        <v>0</v>
      </c>
      <c r="J7" s="17">
        <f t="shared" si="3"/>
        <v>0</v>
      </c>
      <c r="K7" s="17">
        <f t="shared" si="3"/>
        <v>0</v>
      </c>
      <c r="L7" s="17">
        <f t="shared" si="3"/>
        <v>0</v>
      </c>
      <c r="M7" s="17">
        <f t="shared" si="3"/>
        <v>0</v>
      </c>
      <c r="N7" s="17">
        <f t="shared" si="3"/>
        <v>0</v>
      </c>
      <c r="O7" s="17">
        <f t="shared" si="3"/>
        <v>0</v>
      </c>
      <c r="P7" s="17">
        <f t="shared" si="3"/>
        <v>0</v>
      </c>
      <c r="Q7" s="17">
        <f t="shared" si="3"/>
        <v>0</v>
      </c>
      <c r="R7" s="17">
        <f t="shared" si="3"/>
        <v>0</v>
      </c>
      <c r="S7" s="17">
        <f t="shared" si="3"/>
        <v>0</v>
      </c>
      <c r="T7" s="17">
        <f t="shared" si="3"/>
        <v>0</v>
      </c>
      <c r="U7" s="17">
        <f t="shared" si="3"/>
        <v>0</v>
      </c>
      <c r="V7" s="17">
        <f t="shared" si="3"/>
        <v>0</v>
      </c>
      <c r="W7" s="17">
        <f t="shared" si="3"/>
        <v>0</v>
      </c>
      <c r="X7" s="17">
        <f t="shared" si="3"/>
        <v>0</v>
      </c>
      <c r="Y7" s="17">
        <f t="shared" si="3"/>
        <v>0</v>
      </c>
      <c r="Z7" s="17">
        <f t="shared" si="3"/>
        <v>0</v>
      </c>
      <c r="AA7" s="17">
        <f t="shared" si="3"/>
        <v>0</v>
      </c>
      <c r="AB7" s="17">
        <f t="shared" si="3"/>
        <v>0</v>
      </c>
      <c r="AC7" s="17">
        <f t="shared" si="3"/>
        <v>0</v>
      </c>
      <c r="AD7" s="17">
        <f t="shared" si="3"/>
        <v>0</v>
      </c>
      <c r="AE7" s="17">
        <f t="shared" si="3"/>
        <v>0</v>
      </c>
      <c r="AF7" s="17">
        <f t="shared" si="3"/>
        <v>0</v>
      </c>
      <c r="AG7" s="17">
        <f t="shared" si="3"/>
        <v>0</v>
      </c>
      <c r="AH7" s="17">
        <f t="shared" si="3"/>
        <v>0</v>
      </c>
      <c r="AI7" s="17">
        <f t="shared" si="3"/>
        <v>0</v>
      </c>
      <c r="AJ7" s="17">
        <f t="shared" si="3"/>
        <v>0</v>
      </c>
      <c r="AK7" s="18">
        <f t="shared" si="3"/>
        <v>0</v>
      </c>
      <c r="AL7" s="17">
        <f t="shared" si="3"/>
        <v>0</v>
      </c>
      <c r="AM7" s="17">
        <f t="shared" si="3"/>
        <v>0</v>
      </c>
      <c r="AN7" s="17">
        <f t="shared" si="3"/>
        <v>0</v>
      </c>
      <c r="AO7" s="17">
        <f t="shared" si="3"/>
        <v>0</v>
      </c>
      <c r="AP7" s="17">
        <f t="shared" si="3"/>
        <v>0</v>
      </c>
      <c r="AQ7" s="17">
        <f t="shared" si="3"/>
        <v>0</v>
      </c>
      <c r="AR7" s="17">
        <f t="shared" si="3"/>
        <v>0</v>
      </c>
      <c r="AS7" s="17">
        <f t="shared" si="3"/>
        <v>0</v>
      </c>
      <c r="AT7" s="17">
        <f t="shared" si="3"/>
        <v>0</v>
      </c>
    </row>
    <row r="8" s="5" customFormat="1" ht="21.95" hidden="1" customHeight="1" spans="1:51">
      <c r="A8" s="17" t="s">
        <v>412</v>
      </c>
      <c r="B8" s="17">
        <f t="shared" ref="B8:AT8" si="4">COUNTIF(B12:B44,"信美")</f>
        <v>0</v>
      </c>
      <c r="C8" s="17">
        <f t="shared" si="4"/>
        <v>0</v>
      </c>
      <c r="D8" s="17">
        <f t="shared" si="4"/>
        <v>0</v>
      </c>
      <c r="E8" s="17">
        <f t="shared" si="4"/>
        <v>0</v>
      </c>
      <c r="F8" s="17">
        <f t="shared" si="4"/>
        <v>0</v>
      </c>
      <c r="G8" s="17">
        <f t="shared" si="4"/>
        <v>0</v>
      </c>
      <c r="H8" s="17">
        <f t="shared" si="4"/>
        <v>0</v>
      </c>
      <c r="I8" s="17">
        <f t="shared" si="4"/>
        <v>0</v>
      </c>
      <c r="J8" s="17">
        <f t="shared" si="4"/>
        <v>0</v>
      </c>
      <c r="K8" s="17">
        <f t="shared" si="4"/>
        <v>0</v>
      </c>
      <c r="L8" s="17">
        <f t="shared" si="4"/>
        <v>0</v>
      </c>
      <c r="M8" s="17">
        <f t="shared" si="4"/>
        <v>0</v>
      </c>
      <c r="N8" s="17">
        <f t="shared" si="4"/>
        <v>0</v>
      </c>
      <c r="O8" s="17">
        <f t="shared" si="4"/>
        <v>0</v>
      </c>
      <c r="P8" s="17">
        <f t="shared" si="4"/>
        <v>0</v>
      </c>
      <c r="Q8" s="17">
        <f t="shared" si="4"/>
        <v>0</v>
      </c>
      <c r="R8" s="17">
        <f t="shared" si="4"/>
        <v>0</v>
      </c>
      <c r="S8" s="17">
        <f t="shared" si="4"/>
        <v>0</v>
      </c>
      <c r="T8" s="17">
        <f t="shared" si="4"/>
        <v>0</v>
      </c>
      <c r="U8" s="17">
        <f t="shared" si="4"/>
        <v>0</v>
      </c>
      <c r="V8" s="17">
        <f t="shared" si="4"/>
        <v>0</v>
      </c>
      <c r="W8" s="17">
        <f t="shared" si="4"/>
        <v>0</v>
      </c>
      <c r="X8" s="17">
        <f t="shared" si="4"/>
        <v>0</v>
      </c>
      <c r="Y8" s="17">
        <f t="shared" si="4"/>
        <v>0</v>
      </c>
      <c r="Z8" s="17">
        <f t="shared" si="4"/>
        <v>0</v>
      </c>
      <c r="AA8" s="17">
        <f t="shared" si="4"/>
        <v>0</v>
      </c>
      <c r="AB8" s="17">
        <f t="shared" si="4"/>
        <v>0</v>
      </c>
      <c r="AC8" s="17">
        <f t="shared" si="4"/>
        <v>0</v>
      </c>
      <c r="AD8" s="17">
        <f t="shared" si="4"/>
        <v>0</v>
      </c>
      <c r="AE8" s="17">
        <f t="shared" si="4"/>
        <v>0</v>
      </c>
      <c r="AF8" s="17">
        <f t="shared" si="4"/>
        <v>0</v>
      </c>
      <c r="AG8" s="17">
        <f t="shared" si="4"/>
        <v>0</v>
      </c>
      <c r="AH8" s="17">
        <f t="shared" si="4"/>
        <v>0</v>
      </c>
      <c r="AI8" s="17">
        <f t="shared" si="4"/>
        <v>0</v>
      </c>
      <c r="AJ8" s="17">
        <f t="shared" si="4"/>
        <v>0</v>
      </c>
      <c r="AK8" s="18">
        <f t="shared" si="4"/>
        <v>0</v>
      </c>
      <c r="AL8" s="17">
        <f t="shared" si="4"/>
        <v>0</v>
      </c>
      <c r="AM8" s="17">
        <f t="shared" si="4"/>
        <v>0</v>
      </c>
      <c r="AN8" s="17">
        <f t="shared" si="4"/>
        <v>0</v>
      </c>
      <c r="AO8" s="17">
        <f t="shared" si="4"/>
        <v>0</v>
      </c>
      <c r="AP8" s="17">
        <f t="shared" si="4"/>
        <v>0</v>
      </c>
      <c r="AQ8" s="17">
        <f t="shared" si="4"/>
        <v>0</v>
      </c>
      <c r="AR8" s="17">
        <f t="shared" si="4"/>
        <v>0</v>
      </c>
      <c r="AS8" s="17">
        <f t="shared" si="4"/>
        <v>0</v>
      </c>
      <c r="AT8" s="17">
        <f t="shared" si="4"/>
        <v>0</v>
      </c>
    </row>
    <row r="9" s="5" customFormat="1" ht="21.95" hidden="1" customHeight="1" spans="1:51">
      <c r="A9" s="17" t="s">
        <v>413</v>
      </c>
      <c r="B9" s="17">
        <f t="shared" ref="B9:AT9" si="5">SUM(B7:B8)</f>
        <v>0</v>
      </c>
      <c r="C9" s="17">
        <f t="shared" si="5"/>
        <v>0</v>
      </c>
      <c r="D9" s="17">
        <f t="shared" si="5"/>
        <v>0</v>
      </c>
      <c r="E9" s="17">
        <f t="shared" si="5"/>
        <v>0</v>
      </c>
      <c r="F9" s="17">
        <f t="shared" si="5"/>
        <v>0</v>
      </c>
      <c r="G9" s="17">
        <f t="shared" si="5"/>
        <v>0</v>
      </c>
      <c r="H9" s="17">
        <f t="shared" si="5"/>
        <v>0</v>
      </c>
      <c r="I9" s="17">
        <f t="shared" si="5"/>
        <v>0</v>
      </c>
      <c r="J9" s="17">
        <f t="shared" si="5"/>
        <v>0</v>
      </c>
      <c r="K9" s="17">
        <f t="shared" si="5"/>
        <v>0</v>
      </c>
      <c r="L9" s="17">
        <f t="shared" si="5"/>
        <v>0</v>
      </c>
      <c r="M9" s="17">
        <f t="shared" si="5"/>
        <v>0</v>
      </c>
      <c r="N9" s="17">
        <f t="shared" si="5"/>
        <v>0</v>
      </c>
      <c r="O9" s="17">
        <f t="shared" si="5"/>
        <v>0</v>
      </c>
      <c r="P9" s="17">
        <f t="shared" si="5"/>
        <v>0</v>
      </c>
      <c r="Q9" s="17">
        <f t="shared" si="5"/>
        <v>0</v>
      </c>
      <c r="R9" s="17">
        <f t="shared" si="5"/>
        <v>0</v>
      </c>
      <c r="S9" s="17">
        <f t="shared" si="5"/>
        <v>0</v>
      </c>
      <c r="T9" s="17">
        <f t="shared" si="5"/>
        <v>0</v>
      </c>
      <c r="U9" s="17">
        <f t="shared" si="5"/>
        <v>0</v>
      </c>
      <c r="V9" s="17">
        <f t="shared" si="5"/>
        <v>0</v>
      </c>
      <c r="W9" s="17">
        <f t="shared" si="5"/>
        <v>0</v>
      </c>
      <c r="X9" s="17">
        <f t="shared" si="5"/>
        <v>0</v>
      </c>
      <c r="Y9" s="17">
        <f t="shared" si="5"/>
        <v>0</v>
      </c>
      <c r="Z9" s="17">
        <f t="shared" si="5"/>
        <v>0</v>
      </c>
      <c r="AA9" s="17">
        <f t="shared" si="5"/>
        <v>0</v>
      </c>
      <c r="AB9" s="17">
        <f t="shared" si="5"/>
        <v>0</v>
      </c>
      <c r="AC9" s="17">
        <f t="shared" si="5"/>
        <v>0</v>
      </c>
      <c r="AD9" s="17">
        <f t="shared" si="5"/>
        <v>0</v>
      </c>
      <c r="AE9" s="17">
        <f t="shared" si="5"/>
        <v>0</v>
      </c>
      <c r="AF9" s="17">
        <f t="shared" si="5"/>
        <v>0</v>
      </c>
      <c r="AG9" s="17">
        <f t="shared" si="5"/>
        <v>0</v>
      </c>
      <c r="AH9" s="17">
        <f t="shared" si="5"/>
        <v>0</v>
      </c>
      <c r="AI9" s="17">
        <f t="shared" si="5"/>
        <v>0</v>
      </c>
      <c r="AJ9" s="17">
        <f t="shared" si="5"/>
        <v>0</v>
      </c>
      <c r="AK9" s="18">
        <f t="shared" si="5"/>
        <v>0</v>
      </c>
      <c r="AL9" s="17">
        <f t="shared" si="5"/>
        <v>0</v>
      </c>
      <c r="AM9" s="17">
        <f t="shared" si="5"/>
        <v>0</v>
      </c>
      <c r="AN9" s="17">
        <f t="shared" si="5"/>
        <v>0</v>
      </c>
      <c r="AO9" s="17">
        <f t="shared" si="5"/>
        <v>0</v>
      </c>
      <c r="AP9" s="17">
        <f t="shared" si="5"/>
        <v>0</v>
      </c>
      <c r="AQ9" s="17">
        <f t="shared" si="5"/>
        <v>0</v>
      </c>
      <c r="AR9" s="17">
        <f t="shared" si="5"/>
        <v>0</v>
      </c>
      <c r="AS9" s="17">
        <f t="shared" si="5"/>
        <v>0</v>
      </c>
      <c r="AT9" s="17">
        <f t="shared" si="5"/>
        <v>0</v>
      </c>
    </row>
    <row r="10" s="5" customFormat="1" ht="21.95" hidden="1" customHeight="1" spans="1:51">
      <c r="A10" s="17" t="s">
        <v>31</v>
      </c>
      <c r="B10" s="17">
        <f t="shared" ref="B10:AT10" si="6">COUNTIF(B12:B46,"心综")</f>
        <v>0</v>
      </c>
      <c r="C10" s="17">
        <f t="shared" si="6"/>
        <v>0</v>
      </c>
      <c r="D10" s="17">
        <f t="shared" si="6"/>
        <v>0</v>
      </c>
      <c r="E10" s="17">
        <f t="shared" si="6"/>
        <v>0</v>
      </c>
      <c r="F10" s="17">
        <f t="shared" si="6"/>
        <v>0</v>
      </c>
      <c r="G10" s="17">
        <f t="shared" si="6"/>
        <v>0</v>
      </c>
      <c r="H10" s="17">
        <f t="shared" si="6"/>
        <v>0</v>
      </c>
      <c r="I10" s="17">
        <f t="shared" si="6"/>
        <v>0</v>
      </c>
      <c r="J10" s="17">
        <f t="shared" si="6"/>
        <v>0</v>
      </c>
      <c r="K10" s="17">
        <f t="shared" si="6"/>
        <v>0</v>
      </c>
      <c r="L10" s="17">
        <f t="shared" si="6"/>
        <v>0</v>
      </c>
      <c r="M10" s="17">
        <f t="shared" si="6"/>
        <v>0</v>
      </c>
      <c r="N10" s="17">
        <f t="shared" si="6"/>
        <v>0</v>
      </c>
      <c r="O10" s="17">
        <f t="shared" si="6"/>
        <v>0</v>
      </c>
      <c r="P10" s="17">
        <f t="shared" si="6"/>
        <v>0</v>
      </c>
      <c r="Q10" s="17">
        <f t="shared" si="6"/>
        <v>0</v>
      </c>
      <c r="R10" s="17">
        <f t="shared" si="6"/>
        <v>0</v>
      </c>
      <c r="S10" s="17">
        <f t="shared" si="6"/>
        <v>0</v>
      </c>
      <c r="T10" s="17">
        <f t="shared" si="6"/>
        <v>0</v>
      </c>
      <c r="U10" s="17">
        <f t="shared" si="6"/>
        <v>0</v>
      </c>
      <c r="V10" s="17">
        <f t="shared" si="6"/>
        <v>0</v>
      </c>
      <c r="W10" s="17">
        <f t="shared" si="6"/>
        <v>0</v>
      </c>
      <c r="X10" s="17">
        <f t="shared" si="6"/>
        <v>0</v>
      </c>
      <c r="Y10" s="17">
        <f t="shared" si="6"/>
        <v>0</v>
      </c>
      <c r="Z10" s="17">
        <f t="shared" si="6"/>
        <v>0</v>
      </c>
      <c r="AA10" s="17">
        <f t="shared" si="6"/>
        <v>0</v>
      </c>
      <c r="AB10" s="17">
        <f t="shared" si="6"/>
        <v>0</v>
      </c>
      <c r="AC10" s="17">
        <f t="shared" si="6"/>
        <v>0</v>
      </c>
      <c r="AD10" s="17">
        <f t="shared" si="6"/>
        <v>0</v>
      </c>
      <c r="AE10" s="17">
        <f t="shared" si="6"/>
        <v>0</v>
      </c>
      <c r="AF10" s="17">
        <f t="shared" si="6"/>
        <v>0</v>
      </c>
      <c r="AG10" s="17">
        <f t="shared" si="6"/>
        <v>0</v>
      </c>
      <c r="AH10" s="17">
        <f t="shared" si="6"/>
        <v>0</v>
      </c>
      <c r="AI10" s="17">
        <f t="shared" si="6"/>
        <v>0</v>
      </c>
      <c r="AJ10" s="17">
        <f t="shared" si="6"/>
        <v>0</v>
      </c>
      <c r="AK10" s="18">
        <f t="shared" si="6"/>
        <v>0</v>
      </c>
      <c r="AL10" s="17">
        <f t="shared" si="6"/>
        <v>0</v>
      </c>
      <c r="AM10" s="17">
        <f t="shared" si="6"/>
        <v>0</v>
      </c>
      <c r="AN10" s="17">
        <f t="shared" si="6"/>
        <v>0</v>
      </c>
      <c r="AO10" s="17">
        <f t="shared" si="6"/>
        <v>0</v>
      </c>
      <c r="AP10" s="17">
        <f t="shared" si="6"/>
        <v>0</v>
      </c>
      <c r="AQ10" s="17">
        <f t="shared" si="6"/>
        <v>0</v>
      </c>
      <c r="AR10" s="17">
        <f t="shared" si="6"/>
        <v>0</v>
      </c>
      <c r="AS10" s="17">
        <f t="shared" si="6"/>
        <v>0</v>
      </c>
      <c r="AT10" s="17">
        <f t="shared" si="6"/>
        <v>0</v>
      </c>
    </row>
    <row r="11" s="6" customFormat="1" ht="47.1" customHeight="1" spans="1:51">
      <c r="A11" s="19" t="s">
        <v>10</v>
      </c>
      <c r="B11" s="20">
        <v>1</v>
      </c>
      <c r="C11" s="20">
        <v>2</v>
      </c>
      <c r="D11" s="20">
        <v>3</v>
      </c>
      <c r="E11" s="20">
        <v>4</v>
      </c>
      <c r="F11" s="20">
        <v>5</v>
      </c>
      <c r="G11" s="20">
        <v>6</v>
      </c>
      <c r="H11" s="20">
        <v>7</v>
      </c>
      <c r="I11" s="20">
        <v>8</v>
      </c>
      <c r="J11" s="19" t="s">
        <v>11</v>
      </c>
      <c r="K11" s="20">
        <v>1</v>
      </c>
      <c r="L11" s="20">
        <v>2</v>
      </c>
      <c r="M11" s="20">
        <v>3</v>
      </c>
      <c r="N11" s="20">
        <v>4</v>
      </c>
      <c r="O11" s="20">
        <v>5</v>
      </c>
      <c r="P11" s="20">
        <v>6</v>
      </c>
      <c r="Q11" s="20">
        <v>7</v>
      </c>
      <c r="R11" s="20">
        <v>8</v>
      </c>
      <c r="S11" s="19" t="s">
        <v>11</v>
      </c>
      <c r="T11" s="20">
        <v>1</v>
      </c>
      <c r="U11" s="20">
        <v>2</v>
      </c>
      <c r="V11" s="20">
        <v>3</v>
      </c>
      <c r="W11" s="20">
        <v>4</v>
      </c>
      <c r="X11" s="20">
        <v>5</v>
      </c>
      <c r="Y11" s="20">
        <v>6</v>
      </c>
      <c r="Z11" s="20">
        <v>7</v>
      </c>
      <c r="AA11" s="20">
        <v>8</v>
      </c>
      <c r="AB11" s="19" t="s">
        <v>11</v>
      </c>
      <c r="AC11" s="20">
        <v>1</v>
      </c>
      <c r="AD11" s="20">
        <v>2</v>
      </c>
      <c r="AE11" s="20">
        <v>3</v>
      </c>
      <c r="AF11" s="20">
        <v>4</v>
      </c>
      <c r="AG11" s="20">
        <v>5</v>
      </c>
      <c r="AH11" s="20">
        <v>6</v>
      </c>
      <c r="AI11" s="20">
        <v>7</v>
      </c>
      <c r="AJ11" s="20">
        <v>8</v>
      </c>
      <c r="AK11" s="21" t="s">
        <v>11</v>
      </c>
      <c r="AL11" s="20">
        <v>1</v>
      </c>
      <c r="AM11" s="20">
        <v>2</v>
      </c>
      <c r="AN11" s="20">
        <v>3</v>
      </c>
      <c r="AO11" s="20">
        <v>4</v>
      </c>
      <c r="AP11" s="20">
        <v>5</v>
      </c>
      <c r="AQ11" s="20">
        <v>6</v>
      </c>
      <c r="AR11" s="20">
        <v>7</v>
      </c>
      <c r="AS11" s="20">
        <v>8</v>
      </c>
      <c r="AT11" s="19" t="s">
        <v>11</v>
      </c>
      <c r="AU11" s="22"/>
      <c r="AV11" s="22"/>
      <c r="AW11" s="22"/>
    </row>
    <row r="12" s="7" customFormat="1" ht="47.1" customHeight="1" spans="1:51">
      <c r="A12" s="23" t="s">
        <v>414</v>
      </c>
      <c r="B12" s="24"/>
      <c r="C12" s="24"/>
      <c r="D12" s="24"/>
      <c r="E12" s="24"/>
      <c r="F12" s="24"/>
      <c r="G12" s="24"/>
      <c r="H12" s="24"/>
      <c r="I12" s="24"/>
      <c r="J12" s="24" t="s">
        <v>34</v>
      </c>
      <c r="K12" s="24"/>
      <c r="L12" s="24"/>
      <c r="M12" s="24"/>
      <c r="N12" s="24"/>
      <c r="O12" s="24"/>
      <c r="P12" s="24"/>
      <c r="Q12" s="24"/>
      <c r="R12" s="24" t="s">
        <v>415</v>
      </c>
      <c r="S12" s="24" t="s">
        <v>415</v>
      </c>
      <c r="T12" s="24"/>
      <c r="U12" s="24"/>
      <c r="V12" s="24"/>
      <c r="W12" s="24"/>
      <c r="X12" s="24"/>
      <c r="Y12" s="24"/>
      <c r="Z12" s="24"/>
      <c r="AA12" s="24" t="s">
        <v>416</v>
      </c>
      <c r="AB12" s="24" t="s">
        <v>416</v>
      </c>
      <c r="AC12" s="24"/>
      <c r="AD12" s="24"/>
      <c r="AE12" s="24"/>
      <c r="AF12" s="24"/>
      <c r="AG12" s="24"/>
      <c r="AH12" s="24"/>
      <c r="AI12" s="24"/>
      <c r="AJ12" s="25" t="s">
        <v>27</v>
      </c>
      <c r="AK12" s="25" t="s">
        <v>27</v>
      </c>
      <c r="AL12" s="25"/>
      <c r="AM12" s="25"/>
      <c r="AN12" s="25"/>
      <c r="AO12" s="25"/>
      <c r="AP12" s="25"/>
      <c r="AQ12" s="25"/>
      <c r="AR12" s="25"/>
      <c r="AS12" s="25"/>
      <c r="AT12" s="25" t="s">
        <v>417</v>
      </c>
      <c r="AU12" s="26"/>
      <c r="AV12" s="27"/>
      <c r="AW12" s="28"/>
      <c r="AX12" s="26"/>
      <c r="AY12" s="26"/>
    </row>
    <row r="13" s="7" customFormat="1" ht="47.1" customHeight="1" spans="1:51">
      <c r="A13" s="29" t="s">
        <v>418</v>
      </c>
      <c r="B13" s="25"/>
      <c r="C13" s="25"/>
      <c r="D13" s="25"/>
      <c r="E13" s="25"/>
      <c r="F13" s="25"/>
      <c r="G13" s="25"/>
      <c r="H13" s="25"/>
      <c r="I13" s="25"/>
      <c r="J13" s="25" t="s">
        <v>34</v>
      </c>
      <c r="K13" s="25"/>
      <c r="L13" s="25"/>
      <c r="M13" s="25"/>
      <c r="N13" s="25"/>
      <c r="O13" s="25"/>
      <c r="P13" s="25"/>
      <c r="Q13" s="25"/>
      <c r="R13" s="24" t="s">
        <v>415</v>
      </c>
      <c r="S13" s="24" t="s">
        <v>415</v>
      </c>
      <c r="T13" s="25"/>
      <c r="U13" s="25"/>
      <c r="V13" s="25"/>
      <c r="W13" s="25"/>
      <c r="X13" s="25"/>
      <c r="Y13" s="25"/>
      <c r="Z13" s="25"/>
      <c r="AA13" s="24" t="s">
        <v>416</v>
      </c>
      <c r="AB13" s="24" t="s">
        <v>416</v>
      </c>
      <c r="AC13" s="25"/>
      <c r="AD13" s="25"/>
      <c r="AE13" s="25"/>
      <c r="AF13" s="25"/>
      <c r="AG13" s="25"/>
      <c r="AH13" s="25"/>
      <c r="AI13" s="24"/>
      <c r="AJ13" s="25" t="s">
        <v>27</v>
      </c>
      <c r="AK13" s="25" t="s">
        <v>27</v>
      </c>
      <c r="AL13" s="25"/>
      <c r="AM13" s="25"/>
      <c r="AN13" s="25"/>
      <c r="AO13" s="25"/>
      <c r="AP13" s="25"/>
      <c r="AQ13" s="25"/>
      <c r="AR13" s="25"/>
      <c r="AS13" s="25"/>
      <c r="AT13" s="25" t="s">
        <v>417</v>
      </c>
      <c r="AU13" s="30"/>
      <c r="AV13" s="27"/>
      <c r="AW13" s="28"/>
      <c r="AX13" s="26"/>
      <c r="AY13" s="26"/>
    </row>
    <row r="14" s="7" customFormat="1" ht="47.1" customHeight="1" spans="1:51">
      <c r="A14" s="29" t="s">
        <v>107</v>
      </c>
      <c r="B14" s="25"/>
      <c r="C14" s="25"/>
      <c r="D14" s="25"/>
      <c r="E14" s="25"/>
      <c r="F14" s="25"/>
      <c r="G14" s="25"/>
      <c r="H14" s="25"/>
      <c r="I14" s="25"/>
      <c r="J14" s="25" t="s">
        <v>34</v>
      </c>
      <c r="K14" s="25"/>
      <c r="L14" s="25"/>
      <c r="M14" s="25"/>
      <c r="N14" s="25"/>
      <c r="O14" s="25"/>
      <c r="P14" s="25"/>
      <c r="Q14" s="25"/>
      <c r="R14" s="24" t="s">
        <v>415</v>
      </c>
      <c r="S14" s="24" t="s">
        <v>415</v>
      </c>
      <c r="T14" s="25"/>
      <c r="U14" s="25"/>
      <c r="V14" s="25"/>
      <c r="W14" s="25"/>
      <c r="X14" s="25"/>
      <c r="Y14" s="25"/>
      <c r="Z14" s="25"/>
      <c r="AA14" s="24" t="s">
        <v>416</v>
      </c>
      <c r="AB14" s="24" t="s">
        <v>416</v>
      </c>
      <c r="AC14" s="25"/>
      <c r="AD14" s="25"/>
      <c r="AE14" s="25"/>
      <c r="AF14" s="25"/>
      <c r="AG14" s="25"/>
      <c r="AH14" s="12"/>
      <c r="AI14" s="25"/>
      <c r="AJ14" s="25" t="s">
        <v>27</v>
      </c>
      <c r="AK14" s="25" t="s">
        <v>27</v>
      </c>
      <c r="AL14" s="25"/>
      <c r="AM14" s="25"/>
      <c r="AN14" s="25"/>
      <c r="AO14" s="25"/>
      <c r="AP14" s="25"/>
      <c r="AQ14" s="25"/>
      <c r="AR14" s="25"/>
      <c r="AS14" s="25"/>
      <c r="AT14" s="25" t="s">
        <v>417</v>
      </c>
      <c r="AU14" s="26"/>
      <c r="AV14" s="27"/>
      <c r="AW14" s="28"/>
      <c r="AX14" s="26"/>
      <c r="AY14" s="26"/>
    </row>
    <row r="15" s="7" customFormat="1" ht="47.1" customHeight="1" spans="1:51">
      <c r="A15" s="29" t="s">
        <v>110</v>
      </c>
      <c r="B15" s="25"/>
      <c r="C15" s="25"/>
      <c r="D15" s="25"/>
      <c r="E15" s="25"/>
      <c r="F15" s="25"/>
      <c r="G15" s="25"/>
      <c r="H15" s="25"/>
      <c r="I15" s="25"/>
      <c r="J15" s="25" t="s">
        <v>34</v>
      </c>
      <c r="K15" s="25"/>
      <c r="L15" s="25"/>
      <c r="M15" s="25"/>
      <c r="N15" s="25"/>
      <c r="O15" s="25"/>
      <c r="P15" s="25"/>
      <c r="Q15" s="25"/>
      <c r="R15" s="24" t="s">
        <v>415</v>
      </c>
      <c r="S15" s="24" t="s">
        <v>415</v>
      </c>
      <c r="T15" s="25"/>
      <c r="U15" s="25"/>
      <c r="V15" s="25"/>
      <c r="W15" s="25"/>
      <c r="X15" s="25"/>
      <c r="Y15" s="25"/>
      <c r="Z15" s="25"/>
      <c r="AA15" s="24" t="s">
        <v>416</v>
      </c>
      <c r="AB15" s="24" t="s">
        <v>416</v>
      </c>
      <c r="AC15" s="25"/>
      <c r="AD15" s="25"/>
      <c r="AE15" s="25"/>
      <c r="AF15" s="25"/>
      <c r="AG15" s="25"/>
      <c r="AH15" s="25"/>
      <c r="AI15" s="25"/>
      <c r="AJ15" s="25" t="s">
        <v>27</v>
      </c>
      <c r="AK15" s="25" t="s">
        <v>27</v>
      </c>
      <c r="AL15" s="25"/>
      <c r="AM15" s="25"/>
      <c r="AN15" s="25"/>
      <c r="AO15" s="25"/>
      <c r="AP15" s="25"/>
      <c r="AQ15" s="25"/>
      <c r="AR15" s="25"/>
      <c r="AS15" s="25"/>
      <c r="AT15" s="25" t="s">
        <v>417</v>
      </c>
      <c r="AU15" s="26"/>
      <c r="AV15" s="27"/>
      <c r="AW15" s="28"/>
      <c r="AX15" s="26"/>
      <c r="AY15" s="26"/>
    </row>
    <row r="16" s="7" customFormat="1" ht="47.1" customHeight="1" spans="1:51">
      <c r="A16" s="29" t="s">
        <v>111</v>
      </c>
      <c r="B16" s="25"/>
      <c r="C16" s="25"/>
      <c r="D16" s="25"/>
      <c r="E16" s="25"/>
      <c r="F16" s="25"/>
      <c r="G16" s="25"/>
      <c r="H16" s="25"/>
      <c r="I16" s="25"/>
      <c r="J16" s="25" t="s">
        <v>34</v>
      </c>
      <c r="K16" s="25"/>
      <c r="L16" s="25"/>
      <c r="M16" s="25"/>
      <c r="N16" s="25"/>
      <c r="O16" s="25"/>
      <c r="P16" s="25"/>
      <c r="Q16" s="25"/>
      <c r="R16" s="24" t="s">
        <v>415</v>
      </c>
      <c r="S16" s="24" t="s">
        <v>415</v>
      </c>
      <c r="T16" s="25"/>
      <c r="U16" s="25"/>
      <c r="V16" s="25"/>
      <c r="W16" s="25"/>
      <c r="X16" s="25"/>
      <c r="Y16" s="25"/>
      <c r="Z16" s="25"/>
      <c r="AA16" s="24" t="s">
        <v>416</v>
      </c>
      <c r="AB16" s="24" t="s">
        <v>416</v>
      </c>
      <c r="AC16" s="25"/>
      <c r="AD16" s="25"/>
      <c r="AE16" s="25"/>
      <c r="AF16" s="25"/>
      <c r="AG16" s="25"/>
      <c r="AH16" s="25"/>
      <c r="AI16" s="25"/>
      <c r="AJ16" s="25" t="s">
        <v>27</v>
      </c>
      <c r="AK16" s="25" t="s">
        <v>27</v>
      </c>
      <c r="AL16" s="25"/>
      <c r="AM16" s="25"/>
      <c r="AN16" s="25"/>
      <c r="AO16" s="25"/>
      <c r="AP16" s="25"/>
      <c r="AQ16" s="25"/>
      <c r="AR16" s="25"/>
      <c r="AS16" s="12"/>
      <c r="AT16" s="25" t="s">
        <v>417</v>
      </c>
      <c r="AU16" s="26"/>
      <c r="AV16" s="27"/>
      <c r="AW16" s="28"/>
      <c r="AX16" s="26"/>
      <c r="AY16" s="26"/>
    </row>
    <row r="17" s="7" customFormat="1" ht="47.1" customHeight="1" spans="1:51">
      <c r="A17" s="29" t="s">
        <v>115</v>
      </c>
      <c r="B17" s="25"/>
      <c r="C17" s="25"/>
      <c r="D17" s="25"/>
      <c r="E17" s="25"/>
      <c r="F17" s="25"/>
      <c r="G17" s="25"/>
      <c r="H17" s="25"/>
      <c r="I17" s="25"/>
      <c r="J17" s="25" t="s">
        <v>34</v>
      </c>
      <c r="K17" s="25"/>
      <c r="L17" s="25"/>
      <c r="M17" s="25"/>
      <c r="N17" s="25"/>
      <c r="O17" s="25"/>
      <c r="P17" s="25"/>
      <c r="Q17" s="25"/>
      <c r="R17" s="24" t="s">
        <v>415</v>
      </c>
      <c r="S17" s="24" t="s">
        <v>415</v>
      </c>
      <c r="T17" s="25"/>
      <c r="U17" s="25"/>
      <c r="V17" s="25"/>
      <c r="W17" s="25"/>
      <c r="X17" s="25"/>
      <c r="Y17" s="25"/>
      <c r="Z17" s="25"/>
      <c r="AA17" s="24" t="s">
        <v>416</v>
      </c>
      <c r="AB17" s="24" t="s">
        <v>416</v>
      </c>
      <c r="AC17" s="25"/>
      <c r="AD17" s="25"/>
      <c r="AE17" s="25"/>
      <c r="AF17" s="25"/>
      <c r="AG17" s="25"/>
      <c r="AH17" s="25"/>
      <c r="AI17" s="25"/>
      <c r="AJ17" s="25" t="s">
        <v>27</v>
      </c>
      <c r="AK17" s="25" t="s">
        <v>27</v>
      </c>
      <c r="AL17" s="25"/>
      <c r="AM17" s="25"/>
      <c r="AN17" s="25"/>
      <c r="AO17" s="25"/>
      <c r="AP17" s="12"/>
      <c r="AQ17" s="25"/>
      <c r="AR17" s="25"/>
      <c r="AS17" s="25"/>
      <c r="AT17" s="25" t="s">
        <v>417</v>
      </c>
      <c r="AU17" s="26"/>
      <c r="AV17" s="26"/>
      <c r="AW17" s="28"/>
      <c r="AX17" s="26"/>
      <c r="AY17" s="26"/>
    </row>
    <row r="18" s="7" customFormat="1" ht="47.1" customHeight="1" spans="1:51">
      <c r="A18" s="29" t="s">
        <v>116</v>
      </c>
      <c r="B18" s="25"/>
      <c r="C18" s="25"/>
      <c r="D18" s="25"/>
      <c r="E18" s="25"/>
      <c r="F18" s="25"/>
      <c r="G18" s="25"/>
      <c r="H18" s="25"/>
      <c r="I18" s="25"/>
      <c r="J18" s="25" t="s">
        <v>34</v>
      </c>
      <c r="K18" s="25"/>
      <c r="L18" s="25"/>
      <c r="M18" s="25"/>
      <c r="N18" s="25"/>
      <c r="O18" s="25"/>
      <c r="P18" s="25"/>
      <c r="Q18" s="25"/>
      <c r="R18" s="24" t="s">
        <v>415</v>
      </c>
      <c r="S18" s="24" t="s">
        <v>415</v>
      </c>
      <c r="T18" s="25"/>
      <c r="U18" s="25"/>
      <c r="V18" s="25"/>
      <c r="W18" s="25"/>
      <c r="X18" s="25"/>
      <c r="Y18" s="25"/>
      <c r="Z18" s="25"/>
      <c r="AA18" s="24" t="s">
        <v>416</v>
      </c>
      <c r="AB18" s="24" t="s">
        <v>416</v>
      </c>
      <c r="AC18" s="25"/>
      <c r="AD18" s="25"/>
      <c r="AE18" s="25"/>
      <c r="AF18" s="25"/>
      <c r="AG18" s="25"/>
      <c r="AH18" s="25"/>
      <c r="AI18" s="25"/>
      <c r="AJ18" s="25" t="s">
        <v>27</v>
      </c>
      <c r="AK18" s="25" t="s">
        <v>27</v>
      </c>
      <c r="AL18" s="25"/>
      <c r="AM18" s="25"/>
      <c r="AN18" s="25"/>
      <c r="AO18" s="25"/>
      <c r="AP18" s="25"/>
      <c r="AQ18" s="25"/>
      <c r="AR18" s="25"/>
      <c r="AS18" s="25"/>
      <c r="AT18" s="25" t="s">
        <v>417</v>
      </c>
      <c r="AU18" s="26"/>
      <c r="AV18" s="28"/>
      <c r="AW18" s="31"/>
      <c r="AX18" s="26"/>
      <c r="AY18" s="26"/>
    </row>
    <row r="19" s="7" customFormat="1" ht="47.1" customHeight="1" spans="1:51">
      <c r="A19" s="29" t="s">
        <v>119</v>
      </c>
      <c r="B19" s="25"/>
      <c r="C19" s="25"/>
      <c r="D19" s="25"/>
      <c r="E19" s="25"/>
      <c r="F19" s="25"/>
      <c r="G19" s="25"/>
      <c r="H19" s="25"/>
      <c r="I19" s="25"/>
      <c r="J19" s="25" t="s">
        <v>34</v>
      </c>
      <c r="K19" s="25"/>
      <c r="L19" s="25"/>
      <c r="M19" s="25"/>
      <c r="N19" s="25"/>
      <c r="O19" s="25"/>
      <c r="P19" s="25"/>
      <c r="Q19" s="25"/>
      <c r="R19" s="24" t="s">
        <v>415</v>
      </c>
      <c r="S19" s="24" t="s">
        <v>415</v>
      </c>
      <c r="T19" s="25"/>
      <c r="U19" s="25"/>
      <c r="V19" s="25"/>
      <c r="W19" s="25"/>
      <c r="X19" s="25"/>
      <c r="Y19" s="25"/>
      <c r="Z19" s="25"/>
      <c r="AA19" s="24" t="s">
        <v>416</v>
      </c>
      <c r="AB19" s="24" t="s">
        <v>416</v>
      </c>
      <c r="AC19" s="25"/>
      <c r="AD19" s="25"/>
      <c r="AE19" s="25"/>
      <c r="AF19" s="25"/>
      <c r="AG19" s="25"/>
      <c r="AH19" s="25"/>
      <c r="AI19" s="25"/>
      <c r="AJ19" s="25" t="s">
        <v>27</v>
      </c>
      <c r="AK19" s="25" t="s">
        <v>27</v>
      </c>
      <c r="AL19" s="25"/>
      <c r="AM19" s="25"/>
      <c r="AN19" s="25"/>
      <c r="AO19" s="25"/>
      <c r="AP19" s="25"/>
      <c r="AQ19" s="25"/>
      <c r="AR19" s="25"/>
      <c r="AS19" s="25"/>
      <c r="AT19" s="25" t="s">
        <v>417</v>
      </c>
      <c r="AU19" s="26"/>
      <c r="AV19" s="28"/>
      <c r="AW19" s="31"/>
      <c r="AX19" s="26"/>
      <c r="AY19" s="26"/>
    </row>
    <row r="20" s="7" customFormat="1" ht="47.1" customHeight="1" spans="1:51">
      <c r="A20" s="29" t="s">
        <v>121</v>
      </c>
      <c r="B20" s="25"/>
      <c r="C20" s="25"/>
      <c r="D20" s="25"/>
      <c r="E20" s="25"/>
      <c r="F20" s="25"/>
      <c r="G20" s="25"/>
      <c r="H20" s="25"/>
      <c r="I20" s="25"/>
      <c r="J20" s="25" t="s">
        <v>34</v>
      </c>
      <c r="K20" s="25"/>
      <c r="L20" s="25"/>
      <c r="M20" s="25"/>
      <c r="N20" s="25"/>
      <c r="O20" s="25"/>
      <c r="P20" s="25"/>
      <c r="Q20" s="25"/>
      <c r="R20" s="24" t="s">
        <v>415</v>
      </c>
      <c r="S20" s="24" t="s">
        <v>415</v>
      </c>
      <c r="T20" s="25"/>
      <c r="U20" s="25"/>
      <c r="V20" s="25"/>
      <c r="W20" s="25"/>
      <c r="X20" s="25"/>
      <c r="Y20" s="25"/>
      <c r="Z20" s="25"/>
      <c r="AA20" s="24" t="s">
        <v>416</v>
      </c>
      <c r="AB20" s="24" t="s">
        <v>416</v>
      </c>
      <c r="AC20" s="25"/>
      <c r="AD20" s="25"/>
      <c r="AE20" s="25"/>
      <c r="AF20" s="25"/>
      <c r="AG20" s="25"/>
      <c r="AH20" s="25"/>
      <c r="AI20" s="25"/>
      <c r="AJ20" s="25" t="s">
        <v>27</v>
      </c>
      <c r="AK20" s="25" t="s">
        <v>27</v>
      </c>
      <c r="AL20" s="25"/>
      <c r="AM20" s="25"/>
      <c r="AN20" s="25"/>
      <c r="AO20" s="25"/>
      <c r="AP20" s="25"/>
      <c r="AQ20" s="25"/>
      <c r="AR20" s="25"/>
      <c r="AS20" s="25"/>
      <c r="AT20" s="25" t="s">
        <v>417</v>
      </c>
      <c r="AU20" s="26"/>
      <c r="AV20" s="26"/>
      <c r="AW20" s="31"/>
      <c r="AX20" s="26"/>
      <c r="AY20" s="26"/>
    </row>
    <row r="21" s="7" customFormat="1" ht="47.1" customHeight="1" spans="1:51">
      <c r="A21" s="29" t="s">
        <v>125</v>
      </c>
      <c r="B21" s="25"/>
      <c r="C21" s="25"/>
      <c r="D21" s="25"/>
      <c r="E21" s="25"/>
      <c r="F21" s="25"/>
      <c r="G21" s="25"/>
      <c r="H21" s="25"/>
      <c r="I21" s="25"/>
      <c r="J21" s="25" t="s">
        <v>34</v>
      </c>
      <c r="K21" s="25"/>
      <c r="L21" s="25"/>
      <c r="M21" s="25"/>
      <c r="N21" s="25"/>
      <c r="O21" s="25"/>
      <c r="P21" s="25"/>
      <c r="Q21" s="25"/>
      <c r="R21" s="24" t="s">
        <v>415</v>
      </c>
      <c r="S21" s="24" t="s">
        <v>415</v>
      </c>
      <c r="T21" s="25"/>
      <c r="U21" s="25"/>
      <c r="V21" s="25"/>
      <c r="W21" s="25"/>
      <c r="X21" s="25"/>
      <c r="Y21" s="12"/>
      <c r="Z21" s="25"/>
      <c r="AA21" s="24" t="s">
        <v>416</v>
      </c>
      <c r="AB21" s="24" t="s">
        <v>416</v>
      </c>
      <c r="AC21" s="25"/>
      <c r="AD21" s="25"/>
      <c r="AE21" s="25"/>
      <c r="AF21" s="25"/>
      <c r="AG21" s="25"/>
      <c r="AH21" s="25"/>
      <c r="AI21" s="25"/>
      <c r="AJ21" s="25" t="s">
        <v>27</v>
      </c>
      <c r="AK21" s="25" t="s">
        <v>27</v>
      </c>
      <c r="AL21" s="25"/>
      <c r="AM21" s="25"/>
      <c r="AN21" s="25"/>
      <c r="AO21" s="25"/>
      <c r="AP21" s="25"/>
      <c r="AQ21" s="25"/>
      <c r="AR21" s="25"/>
      <c r="AS21" s="25"/>
      <c r="AT21" s="25" t="s">
        <v>417</v>
      </c>
      <c r="AU21" s="26"/>
      <c r="AV21" s="28"/>
      <c r="AW21" s="31"/>
      <c r="AX21" s="26"/>
      <c r="AY21" s="26"/>
    </row>
    <row r="22" s="7" customFormat="1" ht="47.1" customHeight="1" spans="1:51">
      <c r="A22" s="29" t="s">
        <v>126</v>
      </c>
      <c r="B22" s="25"/>
      <c r="C22" s="25"/>
      <c r="D22" s="25"/>
      <c r="E22" s="25"/>
      <c r="F22" s="25"/>
      <c r="G22" s="25"/>
      <c r="H22" s="25"/>
      <c r="I22" s="25"/>
      <c r="J22" s="25" t="s">
        <v>34</v>
      </c>
      <c r="K22" s="25"/>
      <c r="L22" s="25"/>
      <c r="M22" s="25"/>
      <c r="N22" s="25"/>
      <c r="O22" s="25"/>
      <c r="P22" s="25"/>
      <c r="Q22" s="25"/>
      <c r="R22" s="24" t="s">
        <v>415</v>
      </c>
      <c r="S22" s="24" t="s">
        <v>415</v>
      </c>
      <c r="T22" s="25"/>
      <c r="U22" s="25"/>
      <c r="V22" s="25"/>
      <c r="W22" s="25"/>
      <c r="X22" s="25"/>
      <c r="Y22" s="25"/>
      <c r="Z22" s="25"/>
      <c r="AA22" s="24" t="s">
        <v>416</v>
      </c>
      <c r="AB22" s="24" t="s">
        <v>416</v>
      </c>
      <c r="AC22" s="25"/>
      <c r="AD22" s="25"/>
      <c r="AE22" s="25"/>
      <c r="AF22" s="25"/>
      <c r="AG22" s="25"/>
      <c r="AH22" s="25"/>
      <c r="AI22" s="25"/>
      <c r="AJ22" s="25" t="s">
        <v>27</v>
      </c>
      <c r="AK22" s="25" t="s">
        <v>27</v>
      </c>
      <c r="AL22" s="25"/>
      <c r="AM22" s="25"/>
      <c r="AN22" s="25"/>
      <c r="AO22" s="25"/>
      <c r="AP22" s="25"/>
      <c r="AQ22" s="25"/>
      <c r="AR22" s="25"/>
      <c r="AS22" s="25"/>
      <c r="AT22" s="25" t="s">
        <v>417</v>
      </c>
      <c r="AU22" s="26"/>
      <c r="AV22" s="26"/>
      <c r="AW22" s="31"/>
      <c r="AX22" s="26"/>
      <c r="AY22" s="26"/>
    </row>
    <row r="23" s="7" customFormat="1" ht="47.1" customHeight="1" spans="1:51">
      <c r="A23" s="29" t="s">
        <v>130</v>
      </c>
      <c r="B23" s="25"/>
      <c r="C23" s="25"/>
      <c r="D23" s="25"/>
      <c r="E23" s="25"/>
      <c r="F23" s="25"/>
      <c r="G23" s="25"/>
      <c r="H23" s="25"/>
      <c r="I23" s="25"/>
      <c r="J23" s="25" t="s">
        <v>34</v>
      </c>
      <c r="K23" s="32"/>
      <c r="L23" s="25"/>
      <c r="M23" s="25"/>
      <c r="N23" s="25"/>
      <c r="O23" s="25"/>
      <c r="P23" s="25"/>
      <c r="Q23" s="25"/>
      <c r="R23" s="24" t="s">
        <v>415</v>
      </c>
      <c r="S23" s="24" t="s">
        <v>415</v>
      </c>
      <c r="T23" s="25"/>
      <c r="U23" s="25"/>
      <c r="V23" s="25"/>
      <c r="W23" s="25"/>
      <c r="X23" s="12"/>
      <c r="Y23" s="25"/>
      <c r="Z23" s="25"/>
      <c r="AA23" s="24" t="s">
        <v>416</v>
      </c>
      <c r="AB23" s="24" t="s">
        <v>416</v>
      </c>
      <c r="AC23" s="12"/>
      <c r="AD23" s="25"/>
      <c r="AE23" s="25"/>
      <c r="AF23" s="25"/>
      <c r="AG23" s="25"/>
      <c r="AH23" s="25"/>
      <c r="AI23" s="25"/>
      <c r="AJ23" s="25" t="s">
        <v>27</v>
      </c>
      <c r="AK23" s="25" t="s">
        <v>27</v>
      </c>
      <c r="AL23" s="25"/>
      <c r="AM23" s="25"/>
      <c r="AN23" s="25"/>
      <c r="AO23" s="25"/>
      <c r="AP23" s="25"/>
      <c r="AQ23" s="25"/>
      <c r="AR23" s="25"/>
      <c r="AS23" s="25"/>
      <c r="AT23" s="25" t="s">
        <v>417</v>
      </c>
      <c r="AU23" s="26"/>
      <c r="AV23" s="31"/>
      <c r="AW23" s="33"/>
      <c r="AX23" s="26"/>
      <c r="AY23" s="26"/>
    </row>
    <row r="24" s="7" customFormat="1" ht="47.1" customHeight="1" spans="1:51">
      <c r="A24" s="29" t="s">
        <v>131</v>
      </c>
      <c r="B24" s="25"/>
      <c r="C24" s="25"/>
      <c r="D24" s="25"/>
      <c r="E24" s="25"/>
      <c r="F24" s="25"/>
      <c r="G24" s="25"/>
      <c r="H24" s="25"/>
      <c r="I24" s="25"/>
      <c r="J24" s="25" t="s">
        <v>34</v>
      </c>
      <c r="K24" s="25"/>
      <c r="L24" s="25"/>
      <c r="M24" s="25"/>
      <c r="N24" s="25"/>
      <c r="O24" s="25"/>
      <c r="P24" s="25"/>
      <c r="Q24" s="25"/>
      <c r="R24" s="24" t="s">
        <v>415</v>
      </c>
      <c r="S24" s="24" t="s">
        <v>415</v>
      </c>
      <c r="T24" s="25"/>
      <c r="U24" s="25"/>
      <c r="V24" s="25"/>
      <c r="W24" s="25"/>
      <c r="X24" s="25"/>
      <c r="Y24" s="25"/>
      <c r="Z24" s="25"/>
      <c r="AA24" s="24" t="s">
        <v>416</v>
      </c>
      <c r="AB24" s="24" t="s">
        <v>416</v>
      </c>
      <c r="AC24" s="25"/>
      <c r="AD24" s="25"/>
      <c r="AE24" s="25"/>
      <c r="AF24" s="25"/>
      <c r="AG24" s="25"/>
      <c r="AH24" s="25"/>
      <c r="AI24" s="25"/>
      <c r="AJ24" s="25" t="s">
        <v>27</v>
      </c>
      <c r="AK24" s="25" t="s">
        <v>27</v>
      </c>
      <c r="AL24" s="25"/>
      <c r="AM24" s="25"/>
      <c r="AN24" s="25"/>
      <c r="AO24" s="25"/>
      <c r="AP24" s="25"/>
      <c r="AQ24" s="25"/>
      <c r="AR24" s="25"/>
      <c r="AS24" s="25"/>
      <c r="AT24" s="25" t="s">
        <v>417</v>
      </c>
      <c r="AU24" s="26"/>
      <c r="AV24" s="26"/>
      <c r="AW24" s="26"/>
      <c r="AX24" s="26"/>
      <c r="AY24" s="26"/>
    </row>
    <row r="25" s="7" customFormat="1" ht="47.1" customHeight="1" spans="1:51">
      <c r="A25" s="29" t="s">
        <v>134</v>
      </c>
      <c r="B25" s="25"/>
      <c r="C25" s="25"/>
      <c r="D25" s="25"/>
      <c r="E25" s="25"/>
      <c r="F25" s="25"/>
      <c r="G25" s="25"/>
      <c r="H25" s="25"/>
      <c r="I25" s="25"/>
      <c r="J25" s="25" t="s">
        <v>34</v>
      </c>
      <c r="K25" s="25"/>
      <c r="L25" s="25"/>
      <c r="M25" s="25"/>
      <c r="N25" s="25"/>
      <c r="O25" s="25"/>
      <c r="P25" s="25"/>
      <c r="Q25" s="25"/>
      <c r="R25" s="24" t="s">
        <v>415</v>
      </c>
      <c r="S25" s="24" t="s">
        <v>415</v>
      </c>
      <c r="T25" s="25"/>
      <c r="U25" s="25"/>
      <c r="V25" s="25"/>
      <c r="W25" s="25"/>
      <c r="X25" s="25"/>
      <c r="Y25" s="25"/>
      <c r="Z25" s="25"/>
      <c r="AA25" s="24" t="s">
        <v>416</v>
      </c>
      <c r="AB25" s="24" t="s">
        <v>416</v>
      </c>
      <c r="AC25" s="25"/>
      <c r="AD25" s="25"/>
      <c r="AE25" s="25"/>
      <c r="AF25" s="25"/>
      <c r="AG25" s="25"/>
      <c r="AH25" s="25"/>
      <c r="AI25" s="25"/>
      <c r="AJ25" s="25" t="s">
        <v>27</v>
      </c>
      <c r="AK25" s="25" t="s">
        <v>27</v>
      </c>
      <c r="AL25" s="25"/>
      <c r="AM25" s="25"/>
      <c r="AN25" s="25"/>
      <c r="AO25" s="25"/>
      <c r="AP25" s="25"/>
      <c r="AQ25" s="25"/>
      <c r="AR25" s="25"/>
      <c r="AS25" s="25"/>
      <c r="AT25" s="25" t="s">
        <v>417</v>
      </c>
      <c r="AU25" s="26"/>
      <c r="AV25" s="26"/>
      <c r="AW25" s="26"/>
      <c r="AX25" s="26"/>
      <c r="AY25" s="26"/>
    </row>
    <row r="26" s="7" customFormat="1" ht="47.1" customHeight="1" spans="1:51">
      <c r="A26" s="29" t="s">
        <v>419</v>
      </c>
      <c r="B26" s="25"/>
      <c r="C26" s="25"/>
      <c r="D26" s="25"/>
      <c r="E26" s="25"/>
      <c r="F26" s="25"/>
      <c r="G26" s="25"/>
      <c r="H26" s="25"/>
      <c r="I26" s="25"/>
      <c r="J26" s="25" t="s">
        <v>34</v>
      </c>
      <c r="K26" s="25"/>
      <c r="L26" s="25"/>
      <c r="M26" s="25"/>
      <c r="N26" s="25"/>
      <c r="O26" s="25"/>
      <c r="P26" s="25"/>
      <c r="Q26" s="25"/>
      <c r="R26" s="24" t="s">
        <v>415</v>
      </c>
      <c r="S26" s="24" t="s">
        <v>415</v>
      </c>
      <c r="T26" s="25"/>
      <c r="U26" s="12"/>
      <c r="V26" s="25"/>
      <c r="W26" s="25"/>
      <c r="X26" s="25"/>
      <c r="Y26" s="25"/>
      <c r="Z26" s="25"/>
      <c r="AA26" s="24" t="s">
        <v>416</v>
      </c>
      <c r="AB26" s="24" t="s">
        <v>416</v>
      </c>
      <c r="AC26" s="25"/>
      <c r="AD26" s="25"/>
      <c r="AE26" s="25"/>
      <c r="AF26" s="25"/>
      <c r="AG26" s="25"/>
      <c r="AH26" s="25"/>
      <c r="AI26" s="25"/>
      <c r="AJ26" s="25" t="s">
        <v>27</v>
      </c>
      <c r="AK26" s="25" t="s">
        <v>27</v>
      </c>
      <c r="AL26" s="25"/>
      <c r="AM26" s="25"/>
      <c r="AN26" s="25"/>
      <c r="AO26" s="25"/>
      <c r="AP26" s="25"/>
      <c r="AQ26" s="25"/>
      <c r="AR26" s="25"/>
      <c r="AS26" s="25"/>
      <c r="AT26" s="25" t="s">
        <v>417</v>
      </c>
      <c r="AU26" s="26"/>
      <c r="AV26" s="31"/>
      <c r="AW26" s="33"/>
      <c r="AX26" s="26"/>
      <c r="AY26" s="26"/>
    </row>
    <row r="27" s="7" customFormat="1" ht="47.1" customHeight="1" spans="1:51">
      <c r="A27" s="29" t="s">
        <v>420</v>
      </c>
      <c r="B27" s="12"/>
      <c r="C27" s="25"/>
      <c r="D27" s="25"/>
      <c r="E27" s="25"/>
      <c r="F27" s="25"/>
      <c r="G27" s="25"/>
      <c r="H27" s="25"/>
      <c r="I27" s="25"/>
      <c r="J27" s="25" t="s">
        <v>34</v>
      </c>
      <c r="K27" s="25"/>
      <c r="L27" s="25"/>
      <c r="M27" s="25"/>
      <c r="N27" s="25"/>
      <c r="O27" s="25"/>
      <c r="P27" s="25"/>
      <c r="Q27" s="25"/>
      <c r="R27" s="24" t="s">
        <v>415</v>
      </c>
      <c r="S27" s="24" t="s">
        <v>415</v>
      </c>
      <c r="T27" s="25"/>
      <c r="U27" s="25"/>
      <c r="V27" s="12"/>
      <c r="W27" s="25"/>
      <c r="X27" s="25"/>
      <c r="Y27" s="25"/>
      <c r="Z27" s="25"/>
      <c r="AA27" s="24" t="s">
        <v>416</v>
      </c>
      <c r="AB27" s="24" t="s">
        <v>416</v>
      </c>
      <c r="AC27" s="25"/>
      <c r="AD27" s="25"/>
      <c r="AE27" s="25"/>
      <c r="AF27" s="25"/>
      <c r="AG27" s="25"/>
      <c r="AH27" s="25"/>
      <c r="AI27" s="25"/>
      <c r="AJ27" s="25" t="s">
        <v>27</v>
      </c>
      <c r="AK27" s="25" t="s">
        <v>27</v>
      </c>
      <c r="AL27" s="25"/>
      <c r="AM27" s="25"/>
      <c r="AN27" s="25"/>
      <c r="AO27" s="25"/>
      <c r="AP27" s="25"/>
      <c r="AQ27" s="25"/>
      <c r="AR27" s="25"/>
      <c r="AS27" s="25"/>
      <c r="AT27" s="25" t="s">
        <v>417</v>
      </c>
      <c r="AU27" s="26"/>
      <c r="AV27" s="34"/>
      <c r="AW27" s="34"/>
      <c r="AX27" s="26"/>
      <c r="AY27" s="26"/>
    </row>
    <row r="28" s="7" customFormat="1" ht="47.1" customHeight="1" spans="1:51">
      <c r="A28" s="29" t="s">
        <v>421</v>
      </c>
      <c r="B28" s="25"/>
      <c r="C28" s="25"/>
      <c r="D28" s="25"/>
      <c r="E28" s="25"/>
      <c r="F28" s="25"/>
      <c r="G28" s="25"/>
      <c r="H28" s="25"/>
      <c r="I28" s="25"/>
      <c r="J28" s="25" t="s">
        <v>34</v>
      </c>
      <c r="K28" s="25"/>
      <c r="L28" s="25"/>
      <c r="M28" s="25"/>
      <c r="N28" s="25"/>
      <c r="O28" s="25"/>
      <c r="P28" s="25"/>
      <c r="Q28" s="25"/>
      <c r="R28" s="24" t="s">
        <v>415</v>
      </c>
      <c r="S28" s="24" t="s">
        <v>415</v>
      </c>
      <c r="T28" s="25"/>
      <c r="U28" s="12"/>
      <c r="V28" s="25"/>
      <c r="W28" s="12"/>
      <c r="X28" s="25"/>
      <c r="Y28" s="25"/>
      <c r="Z28" s="25"/>
      <c r="AA28" s="24" t="s">
        <v>416</v>
      </c>
      <c r="AB28" s="24" t="s">
        <v>416</v>
      </c>
      <c r="AC28" s="25"/>
      <c r="AD28" s="25"/>
      <c r="AE28" s="25"/>
      <c r="AF28" s="25"/>
      <c r="AG28" s="25"/>
      <c r="AH28" s="25"/>
      <c r="AI28" s="25"/>
      <c r="AJ28" s="25" t="s">
        <v>27</v>
      </c>
      <c r="AK28" s="25" t="s">
        <v>27</v>
      </c>
      <c r="AL28" s="25"/>
      <c r="AM28" s="25"/>
      <c r="AN28" s="25"/>
      <c r="AO28" s="25"/>
      <c r="AP28" s="25"/>
      <c r="AQ28" s="25"/>
      <c r="AR28" s="25"/>
      <c r="AS28" s="25"/>
      <c r="AT28" s="25" t="s">
        <v>417</v>
      </c>
      <c r="AU28" s="26"/>
      <c r="AV28" s="26"/>
      <c r="AW28" s="35"/>
      <c r="AX28" s="26"/>
      <c r="AY28" s="26"/>
    </row>
    <row r="29" s="7" customFormat="1" ht="47.1" customHeight="1" spans="1:51">
      <c r="A29" s="29" t="s">
        <v>422</v>
      </c>
      <c r="B29" s="25"/>
      <c r="C29" s="25"/>
      <c r="D29" s="25"/>
      <c r="E29" s="25"/>
      <c r="F29" s="25"/>
      <c r="G29" s="25"/>
      <c r="H29" s="25"/>
      <c r="I29" s="25"/>
      <c r="J29" s="25" t="s">
        <v>34</v>
      </c>
      <c r="K29" s="25"/>
      <c r="L29" s="25"/>
      <c r="M29" s="25"/>
      <c r="N29" s="25"/>
      <c r="O29" s="12"/>
      <c r="P29" s="25"/>
      <c r="Q29" s="25"/>
      <c r="R29" s="24" t="s">
        <v>415</v>
      </c>
      <c r="S29" s="24" t="s">
        <v>415</v>
      </c>
      <c r="T29" s="25"/>
      <c r="U29" s="25"/>
      <c r="V29" s="25"/>
      <c r="W29" s="25"/>
      <c r="X29" s="25"/>
      <c r="Y29" s="12"/>
      <c r="Z29" s="25"/>
      <c r="AA29" s="24" t="s">
        <v>416</v>
      </c>
      <c r="AB29" s="24" t="s">
        <v>416</v>
      </c>
      <c r="AC29" s="25"/>
      <c r="AD29" s="25"/>
      <c r="AE29" s="25"/>
      <c r="AF29" s="25"/>
      <c r="AG29" s="25"/>
      <c r="AH29" s="25"/>
      <c r="AI29" s="25"/>
      <c r="AJ29" s="25" t="s">
        <v>27</v>
      </c>
      <c r="AK29" s="25" t="s">
        <v>27</v>
      </c>
      <c r="AL29" s="25"/>
      <c r="AM29" s="25"/>
      <c r="AN29" s="25"/>
      <c r="AO29" s="25"/>
      <c r="AP29" s="25"/>
      <c r="AQ29" s="25"/>
      <c r="AR29" s="25"/>
      <c r="AS29" s="12"/>
      <c r="AT29" s="25" t="s">
        <v>417</v>
      </c>
      <c r="AU29" s="26"/>
      <c r="AV29" s="26"/>
      <c r="AW29" s="35"/>
      <c r="AX29" s="26"/>
      <c r="AY29" s="26"/>
    </row>
    <row r="30" s="7" customFormat="1" ht="47.1" customHeight="1" spans="1:51">
      <c r="A30" s="29" t="s">
        <v>423</v>
      </c>
      <c r="B30" s="25"/>
      <c r="C30" s="25"/>
      <c r="D30" s="25"/>
      <c r="E30" s="25"/>
      <c r="F30" s="25"/>
      <c r="G30" s="25"/>
      <c r="H30" s="25"/>
      <c r="I30" s="25"/>
      <c r="J30" s="25" t="s">
        <v>34</v>
      </c>
      <c r="K30" s="25"/>
      <c r="L30" s="25"/>
      <c r="M30" s="25"/>
      <c r="N30" s="25"/>
      <c r="O30" s="25"/>
      <c r="P30" s="25"/>
      <c r="Q30" s="25"/>
      <c r="R30" s="24" t="s">
        <v>415</v>
      </c>
      <c r="S30" s="24" t="s">
        <v>415</v>
      </c>
      <c r="T30" s="25"/>
      <c r="U30" s="25"/>
      <c r="V30" s="25"/>
      <c r="W30" s="25"/>
      <c r="X30" s="25"/>
      <c r="Y30" s="25"/>
      <c r="Z30" s="25"/>
      <c r="AA30" s="24" t="s">
        <v>416</v>
      </c>
      <c r="AB30" s="24" t="s">
        <v>416</v>
      </c>
      <c r="AC30" s="25"/>
      <c r="AD30" s="25"/>
      <c r="AE30" s="25"/>
      <c r="AF30" s="25"/>
      <c r="AG30" s="25"/>
      <c r="AH30" s="25"/>
      <c r="AI30" s="25"/>
      <c r="AJ30" s="25" t="s">
        <v>27</v>
      </c>
      <c r="AK30" s="25" t="s">
        <v>27</v>
      </c>
      <c r="AL30" s="25"/>
      <c r="AM30" s="25"/>
      <c r="AN30" s="25"/>
      <c r="AO30" s="25"/>
      <c r="AP30" s="25"/>
      <c r="AQ30" s="25"/>
      <c r="AR30" s="25"/>
      <c r="AS30" s="25"/>
      <c r="AT30" s="25" t="s">
        <v>417</v>
      </c>
      <c r="AU30" s="26"/>
      <c r="AV30" s="36"/>
      <c r="AW30" s="35"/>
      <c r="AX30" s="26"/>
      <c r="AY30" s="26"/>
    </row>
    <row r="31" s="7" customFormat="1" ht="47.1" customHeight="1" spans="1:51">
      <c r="A31" s="29" t="s">
        <v>424</v>
      </c>
      <c r="B31" s="25"/>
      <c r="C31" s="25"/>
      <c r="D31" s="25"/>
      <c r="E31" s="25"/>
      <c r="F31" s="25"/>
      <c r="G31" s="25"/>
      <c r="H31" s="25"/>
      <c r="I31" s="25"/>
      <c r="J31" s="25" t="s">
        <v>34</v>
      </c>
      <c r="K31" s="25"/>
      <c r="L31" s="25"/>
      <c r="M31" s="25"/>
      <c r="N31" s="25"/>
      <c r="O31" s="25"/>
      <c r="P31" s="25"/>
      <c r="Q31" s="25"/>
      <c r="R31" s="24" t="s">
        <v>415</v>
      </c>
      <c r="S31" s="24" t="s">
        <v>415</v>
      </c>
      <c r="T31" s="25"/>
      <c r="U31" s="25"/>
      <c r="V31" s="12"/>
      <c r="W31" s="25"/>
      <c r="X31" s="37"/>
      <c r="Y31" s="25"/>
      <c r="Z31" s="25"/>
      <c r="AA31" s="24" t="s">
        <v>416</v>
      </c>
      <c r="AB31" s="24" t="s">
        <v>416</v>
      </c>
      <c r="AC31" s="25"/>
      <c r="AD31" s="25"/>
      <c r="AE31" s="25"/>
      <c r="AF31" s="25"/>
      <c r="AG31" s="25"/>
      <c r="AH31" s="25"/>
      <c r="AI31" s="25"/>
      <c r="AJ31" s="25" t="s">
        <v>27</v>
      </c>
      <c r="AK31" s="25" t="s">
        <v>27</v>
      </c>
      <c r="AL31" s="25"/>
      <c r="AM31" s="25"/>
      <c r="AN31" s="25"/>
      <c r="AO31" s="25"/>
      <c r="AP31" s="25"/>
      <c r="AQ31" s="25"/>
      <c r="AR31" s="25"/>
      <c r="AS31" s="25"/>
      <c r="AT31" s="25" t="s">
        <v>417</v>
      </c>
      <c r="AU31" s="26"/>
      <c r="AV31" s="36"/>
      <c r="AW31" s="35"/>
      <c r="AX31" s="26"/>
      <c r="AY31" s="26"/>
    </row>
    <row r="32" s="7" customFormat="1" ht="47.1" customHeight="1" spans="1:51">
      <c r="A32" s="29" t="s">
        <v>425</v>
      </c>
      <c r="B32" s="25"/>
      <c r="C32" s="25"/>
      <c r="D32" s="25"/>
      <c r="E32" s="25"/>
      <c r="F32" s="25"/>
      <c r="G32" s="25"/>
      <c r="H32" s="25"/>
      <c r="I32" s="25"/>
      <c r="J32" s="25" t="s">
        <v>34</v>
      </c>
      <c r="K32" s="25"/>
      <c r="L32" s="25"/>
      <c r="M32" s="25"/>
      <c r="N32" s="25"/>
      <c r="O32" s="25"/>
      <c r="P32" s="25"/>
      <c r="Q32" s="25"/>
      <c r="R32" s="24" t="s">
        <v>415</v>
      </c>
      <c r="S32" s="24" t="s">
        <v>415</v>
      </c>
      <c r="T32" s="25"/>
      <c r="U32" s="25"/>
      <c r="V32" s="25"/>
      <c r="W32" s="25"/>
      <c r="X32" s="25"/>
      <c r="Y32" s="25"/>
      <c r="Z32" s="25"/>
      <c r="AA32" s="24" t="s">
        <v>416</v>
      </c>
      <c r="AB32" s="24" t="s">
        <v>416</v>
      </c>
      <c r="AC32" s="25"/>
      <c r="AD32" s="25"/>
      <c r="AE32" s="25"/>
      <c r="AF32" s="25"/>
      <c r="AG32" s="25"/>
      <c r="AH32" s="25"/>
      <c r="AI32" s="12"/>
      <c r="AJ32" s="25" t="s">
        <v>27</v>
      </c>
      <c r="AK32" s="25" t="s">
        <v>27</v>
      </c>
      <c r="AL32" s="25"/>
      <c r="AM32" s="25"/>
      <c r="AN32" s="25"/>
      <c r="AO32" s="25"/>
      <c r="AP32" s="25"/>
      <c r="AQ32" s="25"/>
      <c r="AR32" s="25"/>
      <c r="AS32" s="25"/>
      <c r="AT32" s="25" t="s">
        <v>417</v>
      </c>
      <c r="AU32" s="26"/>
      <c r="AV32" s="36"/>
      <c r="AW32" s="35"/>
      <c r="AX32" s="26"/>
      <c r="AY32" s="26"/>
    </row>
    <row r="33" s="7" customFormat="1" ht="47.1" customHeight="1" spans="1:51">
      <c r="A33" s="29" t="s">
        <v>426</v>
      </c>
      <c r="B33" s="25"/>
      <c r="C33" s="25"/>
      <c r="D33" s="25"/>
      <c r="E33" s="25"/>
      <c r="F33" s="25"/>
      <c r="G33" s="25"/>
      <c r="H33" s="25"/>
      <c r="I33" s="25"/>
      <c r="J33" s="25" t="s">
        <v>34</v>
      </c>
      <c r="K33" s="25"/>
      <c r="L33" s="25"/>
      <c r="M33" s="25"/>
      <c r="N33" s="25"/>
      <c r="O33" s="25"/>
      <c r="P33" s="25"/>
      <c r="Q33" s="25"/>
      <c r="R33" s="24" t="s">
        <v>415</v>
      </c>
      <c r="S33" s="24" t="s">
        <v>415</v>
      </c>
      <c r="T33" s="25"/>
      <c r="U33" s="25"/>
      <c r="V33" s="25"/>
      <c r="W33" s="25"/>
      <c r="X33" s="25"/>
      <c r="Y33" s="25"/>
      <c r="Z33" s="25"/>
      <c r="AA33" s="24" t="s">
        <v>416</v>
      </c>
      <c r="AB33" s="24" t="s">
        <v>416</v>
      </c>
      <c r="AC33" s="25"/>
      <c r="AD33" s="25"/>
      <c r="AE33" s="25"/>
      <c r="AF33" s="25"/>
      <c r="AG33" s="25"/>
      <c r="AH33" s="25"/>
      <c r="AI33" s="25"/>
      <c r="AJ33" s="25" t="s">
        <v>27</v>
      </c>
      <c r="AK33" s="25" t="s">
        <v>27</v>
      </c>
      <c r="AL33" s="25"/>
      <c r="AM33" s="25"/>
      <c r="AN33" s="25"/>
      <c r="AO33" s="25"/>
      <c r="AP33" s="25"/>
      <c r="AQ33" s="25"/>
      <c r="AR33" s="25"/>
      <c r="AS33" s="25"/>
      <c r="AT33" s="25" t="s">
        <v>417</v>
      </c>
      <c r="AU33" s="26"/>
      <c r="AV33" s="35"/>
      <c r="AW33" s="36"/>
      <c r="AX33" s="26"/>
      <c r="AY33" s="26"/>
    </row>
    <row r="34" s="7" customFormat="1" ht="47.1" customHeight="1" spans="1:51">
      <c r="A34" s="29" t="s">
        <v>427</v>
      </c>
      <c r="B34" s="25"/>
      <c r="C34" s="25"/>
      <c r="D34" s="25"/>
      <c r="E34" s="25"/>
      <c r="F34" s="25"/>
      <c r="G34" s="25"/>
      <c r="H34" s="25"/>
      <c r="I34" s="25"/>
      <c r="J34" s="25" t="s">
        <v>34</v>
      </c>
      <c r="K34" s="25"/>
      <c r="L34" s="25"/>
      <c r="M34" s="25"/>
      <c r="N34" s="25"/>
      <c r="O34" s="25"/>
      <c r="P34" s="25"/>
      <c r="Q34" s="25"/>
      <c r="R34" s="24" t="s">
        <v>415</v>
      </c>
      <c r="S34" s="24" t="s">
        <v>415</v>
      </c>
      <c r="T34" s="25"/>
      <c r="U34" s="25"/>
      <c r="V34" s="25"/>
      <c r="W34" s="25"/>
      <c r="X34" s="25"/>
      <c r="Y34" s="25"/>
      <c r="Z34" s="25"/>
      <c r="AA34" s="24" t="s">
        <v>416</v>
      </c>
      <c r="AB34" s="24" t="s">
        <v>416</v>
      </c>
      <c r="AC34" s="25"/>
      <c r="AD34" s="25"/>
      <c r="AE34" s="25"/>
      <c r="AF34" s="25"/>
      <c r="AG34" s="25"/>
      <c r="AH34" s="25"/>
      <c r="AI34" s="25"/>
      <c r="AJ34" s="25" t="s">
        <v>27</v>
      </c>
      <c r="AK34" s="25" t="s">
        <v>27</v>
      </c>
      <c r="AL34" s="25"/>
      <c r="AM34" s="25"/>
      <c r="AN34" s="25"/>
      <c r="AO34" s="25"/>
      <c r="AP34" s="25"/>
      <c r="AQ34" s="25"/>
      <c r="AR34" s="25"/>
      <c r="AS34" s="25"/>
      <c r="AT34" s="25" t="s">
        <v>417</v>
      </c>
      <c r="AU34" s="26"/>
      <c r="AV34" s="35"/>
      <c r="AW34" s="36"/>
      <c r="AX34" s="26"/>
      <c r="AY34" s="26"/>
    </row>
    <row r="35" s="7" customFormat="1" ht="47.1" customHeight="1" spans="1:51">
      <c r="A35" s="29" t="s">
        <v>428</v>
      </c>
      <c r="B35" s="25"/>
      <c r="C35" s="25"/>
      <c r="D35" s="25"/>
      <c r="E35" s="25"/>
      <c r="F35" s="25"/>
      <c r="G35" s="25"/>
      <c r="H35" s="25"/>
      <c r="I35" s="25"/>
      <c r="J35" s="25" t="s">
        <v>34</v>
      </c>
      <c r="K35" s="25"/>
      <c r="L35" s="25"/>
      <c r="M35" s="25"/>
      <c r="N35" s="25"/>
      <c r="O35" s="25"/>
      <c r="P35" s="25"/>
      <c r="Q35" s="25"/>
      <c r="R35" s="24" t="s">
        <v>415</v>
      </c>
      <c r="S35" s="24" t="s">
        <v>415</v>
      </c>
      <c r="T35" s="25"/>
      <c r="U35" s="25"/>
      <c r="V35" s="25"/>
      <c r="W35" s="25"/>
      <c r="X35" s="25"/>
      <c r="Y35" s="25"/>
      <c r="Z35" s="25"/>
      <c r="AA35" s="24" t="s">
        <v>416</v>
      </c>
      <c r="AB35" s="24" t="s">
        <v>416</v>
      </c>
      <c r="AC35" s="25"/>
      <c r="AD35" s="25"/>
      <c r="AE35" s="25"/>
      <c r="AF35" s="25"/>
      <c r="AG35" s="25"/>
      <c r="AH35" s="25"/>
      <c r="AI35" s="25"/>
      <c r="AJ35" s="25" t="s">
        <v>27</v>
      </c>
      <c r="AK35" s="25" t="s">
        <v>27</v>
      </c>
      <c r="AL35" s="25"/>
      <c r="AM35" s="25"/>
      <c r="AN35" s="25"/>
      <c r="AO35" s="25"/>
      <c r="AP35" s="25"/>
      <c r="AQ35" s="25"/>
      <c r="AR35" s="25"/>
      <c r="AS35" s="25"/>
      <c r="AT35" s="25" t="s">
        <v>417</v>
      </c>
      <c r="AU35" s="26"/>
      <c r="AV35" s="35"/>
      <c r="AW35" s="36"/>
      <c r="AX35" s="26"/>
      <c r="AY35" s="26"/>
    </row>
    <row r="36" s="7" customFormat="1" ht="47.1" customHeight="1" spans="1:51">
      <c r="A36" s="29" t="s">
        <v>429</v>
      </c>
      <c r="B36" s="25"/>
      <c r="C36" s="25"/>
      <c r="D36" s="25"/>
      <c r="E36" s="25"/>
      <c r="F36" s="25"/>
      <c r="G36" s="25"/>
      <c r="H36" s="25"/>
      <c r="I36" s="25"/>
      <c r="J36" s="25" t="s">
        <v>34</v>
      </c>
      <c r="K36" s="25"/>
      <c r="L36" s="25"/>
      <c r="M36" s="25"/>
      <c r="N36" s="25"/>
      <c r="O36" s="25"/>
      <c r="P36" s="25"/>
      <c r="Q36" s="25"/>
      <c r="R36" s="24" t="s">
        <v>415</v>
      </c>
      <c r="S36" s="24" t="s">
        <v>415</v>
      </c>
      <c r="T36" s="25"/>
      <c r="U36" s="25"/>
      <c r="V36" s="25"/>
      <c r="W36" s="25"/>
      <c r="X36" s="38"/>
      <c r="Y36" s="25"/>
      <c r="Z36" s="25"/>
      <c r="AA36" s="24" t="s">
        <v>416</v>
      </c>
      <c r="AB36" s="24" t="s">
        <v>416</v>
      </c>
      <c r="AC36" s="25"/>
      <c r="AD36" s="25"/>
      <c r="AE36" s="25"/>
      <c r="AF36" s="25"/>
      <c r="AG36" s="25"/>
      <c r="AH36" s="25"/>
      <c r="AI36" s="12"/>
      <c r="AJ36" s="25" t="s">
        <v>27</v>
      </c>
      <c r="AK36" s="25" t="s">
        <v>27</v>
      </c>
      <c r="AL36" s="25"/>
      <c r="AM36" s="25"/>
      <c r="AN36" s="25"/>
      <c r="AO36" s="25"/>
      <c r="AP36" s="25"/>
      <c r="AQ36" s="25"/>
      <c r="AR36" s="25"/>
      <c r="AS36" s="25"/>
      <c r="AT36" s="25" t="s">
        <v>417</v>
      </c>
      <c r="AU36" s="26"/>
      <c r="AV36" s="26"/>
      <c r="AW36" s="26"/>
      <c r="AX36" s="26"/>
      <c r="AY36" s="26"/>
    </row>
    <row r="37" s="7" customFormat="1" ht="47.1" customHeight="1" spans="1:51">
      <c r="A37" s="39" t="s">
        <v>430</v>
      </c>
      <c r="B37" s="40"/>
      <c r="C37" s="40"/>
      <c r="D37" s="40"/>
      <c r="E37" s="40"/>
      <c r="F37" s="25"/>
      <c r="G37" s="40"/>
      <c r="H37" s="40"/>
      <c r="I37" s="40"/>
      <c r="J37" s="25" t="s">
        <v>34</v>
      </c>
      <c r="K37" s="40"/>
      <c r="L37" s="40"/>
      <c r="M37" s="40"/>
      <c r="N37" s="40"/>
      <c r="O37" s="40"/>
      <c r="P37" s="40"/>
      <c r="Q37" s="40"/>
      <c r="R37" s="24" t="s">
        <v>415</v>
      </c>
      <c r="S37" s="24" t="s">
        <v>415</v>
      </c>
      <c r="T37" s="40"/>
      <c r="U37" s="40"/>
      <c r="V37" s="40"/>
      <c r="W37" s="40"/>
      <c r="X37" s="38"/>
      <c r="Y37" s="40"/>
      <c r="Z37" s="40"/>
      <c r="AA37" s="24" t="s">
        <v>416</v>
      </c>
      <c r="AB37" s="24" t="s">
        <v>416</v>
      </c>
      <c r="AC37" s="40"/>
      <c r="AD37" s="40"/>
      <c r="AE37" s="40"/>
      <c r="AF37" s="40"/>
      <c r="AG37" s="40"/>
      <c r="AH37" s="40"/>
      <c r="AI37" s="41"/>
      <c r="AJ37" s="25" t="s">
        <v>27</v>
      </c>
      <c r="AK37" s="25" t="s">
        <v>27</v>
      </c>
      <c r="AL37" s="25"/>
      <c r="AM37" s="25"/>
      <c r="AN37" s="25"/>
      <c r="AO37" s="25"/>
      <c r="AP37" s="25"/>
      <c r="AQ37" s="25"/>
      <c r="AR37" s="25"/>
      <c r="AS37" s="25"/>
      <c r="AT37" s="25" t="s">
        <v>417</v>
      </c>
      <c r="AU37" s="26"/>
      <c r="AV37" s="26"/>
      <c r="AW37" s="26"/>
      <c r="AX37" s="26"/>
      <c r="AY37" s="26"/>
    </row>
    <row r="38" s="7" customFormat="1" ht="47.1" customHeight="1" spans="1:51">
      <c r="A38" s="39" t="s">
        <v>431</v>
      </c>
      <c r="B38" s="40"/>
      <c r="C38" s="40"/>
      <c r="D38" s="40"/>
      <c r="E38" s="40"/>
      <c r="F38" s="25"/>
      <c r="G38" s="40"/>
      <c r="H38" s="40"/>
      <c r="I38" s="40"/>
      <c r="J38" s="25" t="s">
        <v>34</v>
      </c>
      <c r="K38" s="40"/>
      <c r="L38" s="40"/>
      <c r="M38" s="40"/>
      <c r="N38" s="40"/>
      <c r="O38" s="40"/>
      <c r="P38" s="40"/>
      <c r="Q38" s="40"/>
      <c r="R38" s="24" t="s">
        <v>415</v>
      </c>
      <c r="S38" s="24" t="s">
        <v>415</v>
      </c>
      <c r="T38" s="40"/>
      <c r="U38" s="40"/>
      <c r="V38" s="40"/>
      <c r="W38" s="40"/>
      <c r="X38" s="38"/>
      <c r="Y38" s="40"/>
      <c r="Z38" s="40"/>
      <c r="AA38" s="24" t="s">
        <v>416</v>
      </c>
      <c r="AB38" s="24" t="s">
        <v>416</v>
      </c>
      <c r="AC38" s="40"/>
      <c r="AD38" s="40"/>
      <c r="AE38" s="40"/>
      <c r="AF38" s="40"/>
      <c r="AG38" s="40"/>
      <c r="AH38" s="40"/>
      <c r="AI38" s="41"/>
      <c r="AJ38" s="25" t="s">
        <v>27</v>
      </c>
      <c r="AK38" s="25" t="s">
        <v>27</v>
      </c>
      <c r="AL38" s="25"/>
      <c r="AM38" s="25"/>
      <c r="AN38" s="25"/>
      <c r="AO38" s="25"/>
      <c r="AP38" s="25"/>
      <c r="AQ38" s="25"/>
      <c r="AR38" s="25"/>
      <c r="AS38" s="25"/>
      <c r="AT38" s="25" t="s">
        <v>417</v>
      </c>
      <c r="AU38" s="26"/>
      <c r="AV38" s="26"/>
      <c r="AW38" s="26"/>
      <c r="AX38" s="26"/>
      <c r="AY38" s="26"/>
    </row>
    <row r="39" s="7" customFormat="1" ht="47.1" customHeight="1" spans="1:51">
      <c r="A39" s="39" t="s">
        <v>432</v>
      </c>
      <c r="B39" s="40"/>
      <c r="C39" s="40"/>
      <c r="D39" s="40"/>
      <c r="E39" s="40"/>
      <c r="F39" s="25"/>
      <c r="G39" s="40"/>
      <c r="H39" s="40"/>
      <c r="I39" s="40"/>
      <c r="J39" s="25" t="s">
        <v>34</v>
      </c>
      <c r="K39" s="40"/>
      <c r="L39" s="40"/>
      <c r="M39" s="40"/>
      <c r="N39" s="40"/>
      <c r="O39" s="40"/>
      <c r="P39" s="40"/>
      <c r="Q39" s="40"/>
      <c r="R39" s="24" t="s">
        <v>415</v>
      </c>
      <c r="S39" s="24" t="s">
        <v>415</v>
      </c>
      <c r="T39" s="40"/>
      <c r="U39" s="40"/>
      <c r="V39" s="40"/>
      <c r="W39" s="40"/>
      <c r="X39" s="38"/>
      <c r="Y39" s="40"/>
      <c r="Z39" s="40"/>
      <c r="AA39" s="24" t="s">
        <v>416</v>
      </c>
      <c r="AB39" s="24" t="s">
        <v>416</v>
      </c>
      <c r="AC39" s="40"/>
      <c r="AD39" s="40"/>
      <c r="AE39" s="40"/>
      <c r="AF39" s="40"/>
      <c r="AG39" s="40"/>
      <c r="AH39" s="40"/>
      <c r="AI39" s="41"/>
      <c r="AJ39" s="25" t="s">
        <v>27</v>
      </c>
      <c r="AK39" s="25" t="s">
        <v>27</v>
      </c>
      <c r="AL39" s="25"/>
      <c r="AM39" s="25"/>
      <c r="AN39" s="25"/>
      <c r="AO39" s="25"/>
      <c r="AP39" s="25"/>
      <c r="AQ39" s="25"/>
      <c r="AR39" s="25"/>
      <c r="AS39" s="25"/>
      <c r="AT39" s="25" t="s">
        <v>417</v>
      </c>
      <c r="AU39" s="26"/>
      <c r="AV39" s="26"/>
      <c r="AW39" s="26"/>
      <c r="AX39" s="26"/>
      <c r="AY39" s="26"/>
    </row>
    <row r="40" s="7" customFormat="1" ht="47.1" customHeight="1" spans="1:51">
      <c r="A40" s="39" t="s">
        <v>433</v>
      </c>
      <c r="B40" s="40"/>
      <c r="C40" s="40"/>
      <c r="D40" s="40"/>
      <c r="E40" s="40"/>
      <c r="F40" s="25"/>
      <c r="G40" s="40"/>
      <c r="H40" s="40"/>
      <c r="I40" s="40"/>
      <c r="J40" s="25" t="s">
        <v>34</v>
      </c>
      <c r="K40" s="40"/>
      <c r="L40" s="40"/>
      <c r="M40" s="40"/>
      <c r="N40" s="40"/>
      <c r="O40" s="40"/>
      <c r="P40" s="40"/>
      <c r="Q40" s="40"/>
      <c r="R40" s="24" t="s">
        <v>415</v>
      </c>
      <c r="S40" s="24" t="s">
        <v>415</v>
      </c>
      <c r="T40" s="40"/>
      <c r="U40" s="40"/>
      <c r="V40" s="40"/>
      <c r="W40" s="40"/>
      <c r="X40" s="38"/>
      <c r="Y40" s="40"/>
      <c r="Z40" s="40"/>
      <c r="AA40" s="24" t="s">
        <v>416</v>
      </c>
      <c r="AB40" s="24" t="s">
        <v>416</v>
      </c>
      <c r="AC40" s="40"/>
      <c r="AD40" s="40"/>
      <c r="AE40" s="40"/>
      <c r="AF40" s="40"/>
      <c r="AG40" s="40"/>
      <c r="AH40" s="40"/>
      <c r="AI40" s="41"/>
      <c r="AJ40" s="25" t="s">
        <v>27</v>
      </c>
      <c r="AK40" s="25" t="s">
        <v>27</v>
      </c>
      <c r="AL40" s="25"/>
      <c r="AM40" s="25"/>
      <c r="AN40" s="25"/>
      <c r="AO40" s="25"/>
      <c r="AP40" s="25"/>
      <c r="AQ40" s="25"/>
      <c r="AR40" s="25"/>
      <c r="AS40" s="25"/>
      <c r="AT40" s="25" t="s">
        <v>417</v>
      </c>
      <c r="AU40" s="26"/>
      <c r="AV40" s="26"/>
      <c r="AW40" s="26"/>
      <c r="AX40" s="26"/>
      <c r="AY40" s="26"/>
    </row>
    <row r="41" s="7" customFormat="1" ht="47.1" customHeight="1" spans="1:51">
      <c r="A41" s="39" t="s">
        <v>434</v>
      </c>
      <c r="B41" s="40"/>
      <c r="C41" s="40"/>
      <c r="D41" s="40"/>
      <c r="E41" s="40"/>
      <c r="F41" s="25"/>
      <c r="G41" s="40"/>
      <c r="H41" s="40"/>
      <c r="I41" s="40"/>
      <c r="J41" s="25" t="s">
        <v>34</v>
      </c>
      <c r="K41" s="40"/>
      <c r="L41" s="40"/>
      <c r="M41" s="40"/>
      <c r="N41" s="40"/>
      <c r="O41" s="40"/>
      <c r="P41" s="40"/>
      <c r="Q41" s="40"/>
      <c r="R41" s="24" t="s">
        <v>415</v>
      </c>
      <c r="S41" s="24" t="s">
        <v>415</v>
      </c>
      <c r="T41" s="40"/>
      <c r="U41" s="40"/>
      <c r="V41" s="40"/>
      <c r="W41" s="40"/>
      <c r="X41" s="38"/>
      <c r="Y41" s="40"/>
      <c r="Z41" s="40"/>
      <c r="AA41" s="24" t="s">
        <v>416</v>
      </c>
      <c r="AB41" s="24" t="s">
        <v>416</v>
      </c>
      <c r="AC41" s="40"/>
      <c r="AD41" s="40"/>
      <c r="AE41" s="40"/>
      <c r="AF41" s="40"/>
      <c r="AG41" s="40"/>
      <c r="AH41" s="40"/>
      <c r="AI41" s="41"/>
      <c r="AJ41" s="25" t="s">
        <v>27</v>
      </c>
      <c r="AK41" s="25" t="s">
        <v>27</v>
      </c>
      <c r="AL41" s="25"/>
      <c r="AM41" s="25"/>
      <c r="AN41" s="25"/>
      <c r="AO41" s="25"/>
      <c r="AP41" s="25"/>
      <c r="AQ41" s="25"/>
      <c r="AR41" s="25"/>
      <c r="AS41" s="25"/>
      <c r="AT41" s="25" t="s">
        <v>417</v>
      </c>
      <c r="AU41" s="26"/>
      <c r="AV41" s="26"/>
      <c r="AW41" s="26"/>
      <c r="AX41" s="26"/>
      <c r="AY41" s="26"/>
    </row>
    <row r="42" s="7" customFormat="1" ht="47.1" customHeight="1" spans="1:51">
      <c r="A42" s="39" t="s">
        <v>435</v>
      </c>
      <c r="B42" s="40"/>
      <c r="C42" s="40"/>
      <c r="D42" s="40"/>
      <c r="E42" s="40"/>
      <c r="F42" s="25"/>
      <c r="G42" s="40"/>
      <c r="H42" s="40"/>
      <c r="I42" s="40"/>
      <c r="J42" s="25" t="s">
        <v>34</v>
      </c>
      <c r="K42" s="40"/>
      <c r="L42" s="40"/>
      <c r="M42" s="40"/>
      <c r="N42" s="40"/>
      <c r="O42" s="40"/>
      <c r="P42" s="40"/>
      <c r="Q42" s="40"/>
      <c r="R42" s="24" t="s">
        <v>415</v>
      </c>
      <c r="S42" s="24" t="s">
        <v>415</v>
      </c>
      <c r="T42" s="40"/>
      <c r="U42" s="40"/>
      <c r="V42" s="40"/>
      <c r="W42" s="40"/>
      <c r="X42" s="38"/>
      <c r="Y42" s="40"/>
      <c r="Z42" s="40"/>
      <c r="AA42" s="24" t="s">
        <v>416</v>
      </c>
      <c r="AB42" s="24" t="s">
        <v>416</v>
      </c>
      <c r="AC42" s="40"/>
      <c r="AD42" s="40"/>
      <c r="AE42" s="40"/>
      <c r="AF42" s="40"/>
      <c r="AG42" s="40"/>
      <c r="AH42" s="40"/>
      <c r="AI42" s="41"/>
      <c r="AJ42" s="25" t="s">
        <v>27</v>
      </c>
      <c r="AK42" s="25" t="s">
        <v>27</v>
      </c>
      <c r="AL42" s="25"/>
      <c r="AM42" s="25"/>
      <c r="AN42" s="25"/>
      <c r="AO42" s="25"/>
      <c r="AP42" s="25"/>
      <c r="AQ42" s="25"/>
      <c r="AR42" s="25"/>
      <c r="AS42" s="25"/>
      <c r="AT42" s="25" t="s">
        <v>417</v>
      </c>
      <c r="AU42" s="26"/>
      <c r="AV42" s="26"/>
      <c r="AW42" s="26"/>
      <c r="AX42" s="26"/>
      <c r="AY42" s="26"/>
    </row>
    <row r="43" s="7" customFormat="1" ht="47.1" customHeight="1" spans="1:51">
      <c r="A43" s="39" t="s">
        <v>436</v>
      </c>
      <c r="B43" s="38"/>
      <c r="C43" s="38"/>
      <c r="D43" s="38"/>
      <c r="E43" s="38"/>
      <c r="F43" s="25"/>
      <c r="G43" s="38"/>
      <c r="H43" s="38"/>
      <c r="I43" s="38"/>
      <c r="J43" s="38" t="s">
        <v>34</v>
      </c>
      <c r="K43" s="38"/>
      <c r="L43" s="38"/>
      <c r="M43" s="38"/>
      <c r="N43" s="42"/>
      <c r="O43" s="38"/>
      <c r="P43" s="38"/>
      <c r="Q43" s="38"/>
      <c r="R43" s="24" t="s">
        <v>415</v>
      </c>
      <c r="S43" s="24" t="s">
        <v>415</v>
      </c>
      <c r="T43" s="38"/>
      <c r="U43" s="38"/>
      <c r="V43" s="38"/>
      <c r="W43" s="38"/>
      <c r="X43" s="38"/>
      <c r="Y43" s="38"/>
      <c r="Z43" s="38"/>
      <c r="AA43" s="24" t="s">
        <v>416</v>
      </c>
      <c r="AB43" s="24" t="s">
        <v>416</v>
      </c>
      <c r="AC43" s="38"/>
      <c r="AD43" s="38"/>
      <c r="AE43" s="38"/>
      <c r="AF43" s="38"/>
      <c r="AG43" s="38"/>
      <c r="AH43" s="38"/>
      <c r="AI43" s="38"/>
      <c r="AJ43" s="25" t="s">
        <v>27</v>
      </c>
      <c r="AK43" s="25" t="s">
        <v>27</v>
      </c>
      <c r="AL43" s="25"/>
      <c r="AM43" s="25"/>
      <c r="AN43" s="25"/>
      <c r="AO43" s="25"/>
      <c r="AP43" s="12"/>
      <c r="AQ43" s="25"/>
      <c r="AR43" s="25"/>
      <c r="AS43" s="25"/>
      <c r="AT43" s="25" t="s">
        <v>417</v>
      </c>
      <c r="AU43" s="26"/>
      <c r="AV43" s="26"/>
      <c r="AW43" s="36"/>
      <c r="AX43" s="26"/>
      <c r="AY43" s="26"/>
    </row>
    <row r="44" s="7" customFormat="1" ht="66" customHeight="1" spans="1:51">
      <c r="A44" s="43"/>
      <c r="B44" s="44"/>
      <c r="C44" s="44"/>
      <c r="D44" s="44"/>
      <c r="E44" s="45" t="s">
        <v>83</v>
      </c>
      <c r="F44" s="45"/>
      <c r="G44" s="44"/>
      <c r="H44" s="44"/>
      <c r="I44" s="46"/>
      <c r="J44" s="47"/>
      <c r="K44" s="48" t="s">
        <v>437</v>
      </c>
      <c r="L44" s="45"/>
      <c r="M44" s="45"/>
      <c r="N44" s="45"/>
      <c r="O44" s="45"/>
      <c r="P44" s="49"/>
      <c r="Q44" s="49"/>
      <c r="R44" s="50" t="s">
        <v>438</v>
      </c>
      <c r="S44" s="51"/>
      <c r="T44" s="48" t="s">
        <v>439</v>
      </c>
      <c r="U44" s="45"/>
      <c r="V44" s="45"/>
      <c r="W44" s="45"/>
      <c r="X44" s="45"/>
      <c r="Y44" s="50" t="s">
        <v>440</v>
      </c>
      <c r="Z44" s="52"/>
      <c r="AA44" s="53" t="s">
        <v>41</v>
      </c>
      <c r="AB44" s="54"/>
      <c r="AC44" s="48" t="s">
        <v>87</v>
      </c>
      <c r="AD44" s="45"/>
      <c r="AE44" s="45"/>
      <c r="AF44" s="45"/>
      <c r="AG44" s="55"/>
      <c r="AH44" s="56" t="s">
        <v>441</v>
      </c>
      <c r="AI44" s="56"/>
      <c r="AJ44" s="56"/>
      <c r="AK44" s="57"/>
      <c r="AL44" s="32" t="s">
        <v>442</v>
      </c>
      <c r="AM44" s="32"/>
      <c r="AN44" s="32"/>
      <c r="AO44" s="32" t="s">
        <v>443</v>
      </c>
      <c r="AP44" s="32"/>
      <c r="AQ44" s="12"/>
      <c r="AR44" s="12"/>
      <c r="AS44" s="12"/>
      <c r="AT44" s="12"/>
      <c r="AU44" s="26"/>
      <c r="AV44" s="26"/>
      <c r="AW44" s="26"/>
      <c r="AX44" s="26"/>
      <c r="AY44" s="26"/>
    </row>
    <row r="45" s="8" customFormat="1" ht="135" customHeight="1" spans="1:51">
      <c r="A45" s="39"/>
      <c r="B45" s="58"/>
      <c r="C45" s="58"/>
      <c r="D45" s="58"/>
      <c r="E45" s="59"/>
      <c r="F45" s="59"/>
      <c r="G45" s="58"/>
      <c r="H45" s="58"/>
      <c r="I45" s="60"/>
      <c r="J45" s="61"/>
      <c r="K45" s="62"/>
      <c r="L45" s="59"/>
      <c r="M45" s="59"/>
      <c r="N45" s="59"/>
      <c r="O45" s="59"/>
      <c r="P45" s="42"/>
      <c r="Q45" s="42"/>
      <c r="R45" s="63"/>
      <c r="S45" s="64"/>
      <c r="T45" s="62"/>
      <c r="U45" s="59"/>
      <c r="V45" s="59"/>
      <c r="W45" s="59"/>
      <c r="X45" s="59"/>
      <c r="Y45" s="63"/>
      <c r="Z45" s="65"/>
      <c r="AA45" s="66"/>
      <c r="AB45" s="67"/>
      <c r="AC45" s="62"/>
      <c r="AD45" s="59"/>
      <c r="AE45" s="59"/>
      <c r="AF45" s="59"/>
      <c r="AG45" s="68"/>
      <c r="AH45" s="25"/>
      <c r="AI45" s="25"/>
      <c r="AJ45" s="25"/>
      <c r="AK45" s="69"/>
      <c r="AL45" s="32"/>
      <c r="AM45" s="32"/>
      <c r="AN45" s="32"/>
      <c r="AO45" s="32"/>
      <c r="AP45" s="32"/>
      <c r="AQ45" s="12"/>
      <c r="AR45" s="12"/>
      <c r="AS45" s="12"/>
      <c r="AT45" s="12"/>
      <c r="AU45" s="70"/>
      <c r="AV45" s="70"/>
      <c r="AW45" s="70"/>
      <c r="AX45" s="70"/>
      <c r="AY45" s="70"/>
    </row>
  </sheetData>
  <mergeCells count="41">
    <mergeCell ref="A1:AT1"/>
    <mergeCell ref="B2:J2"/>
    <mergeCell ref="K2:S2"/>
    <mergeCell ref="T2:AB2"/>
    <mergeCell ref="AC2:AK2"/>
    <mergeCell ref="AL2:AT2"/>
    <mergeCell ref="B3:F3"/>
    <mergeCell ref="G3:J3"/>
    <mergeCell ref="K3:O3"/>
    <mergeCell ref="P3:S3"/>
    <mergeCell ref="T3:X3"/>
    <mergeCell ref="Y3:AB3"/>
    <mergeCell ref="AC3:AG3"/>
    <mergeCell ref="AH3:AK3"/>
    <mergeCell ref="AL3:AP3"/>
    <mergeCell ref="AQ3:AT3"/>
    <mergeCell ref="A44:A45"/>
    <mergeCell ref="B44:B45"/>
    <mergeCell ref="C44:C45"/>
    <mergeCell ref="D44:D45"/>
    <mergeCell ref="G44:G45"/>
    <mergeCell ref="H44:H45"/>
    <mergeCell ref="I44:I45"/>
    <mergeCell ref="J44:J45"/>
    <mergeCell ref="P44:P45"/>
    <mergeCell ref="Q44:Q45"/>
    <mergeCell ref="AK44:AK45"/>
    <mergeCell ref="AQ44:AQ45"/>
    <mergeCell ref="AR44:AR45"/>
    <mergeCell ref="AS44:AS45"/>
    <mergeCell ref="AT44:AT45"/>
    <mergeCell ref="E44:F45"/>
    <mergeCell ref="Y44:Z45"/>
    <mergeCell ref="AA44:AB45"/>
    <mergeCell ref="AO44:AP45"/>
    <mergeCell ref="K44:O45"/>
    <mergeCell ref="R44:S45"/>
    <mergeCell ref="T44:X45"/>
    <mergeCell ref="AC44:AG45"/>
    <mergeCell ref="AH44:AJ45"/>
    <mergeCell ref="AL44:AN45"/>
  </mergeCells>
  <conditionalFormatting sqref="I44">
    <cfRule type="cellIs" dxfId="0" priority="20" operator="equal">
      <formula>"信"</formula>
    </cfRule>
  </conditionalFormatting>
  <pageMargins left="0.75" right="0.75" top="1" bottom="1" header="0.5" footer="0.5"/>
  <pageSetup paperSize="8" scale="5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9.09</vt:lpstr>
      <vt:lpstr>9.09 (3)</vt:lpstr>
      <vt:lpstr>9.09 (4)</vt:lpstr>
      <vt:lpstr>9.09 (2)</vt:lpstr>
      <vt:lpstr>初一</vt:lpstr>
      <vt:lpstr>初一 (2)</vt:lpstr>
      <vt:lpstr>Sheet1</vt:lpstr>
      <vt:lpstr>Sheet2</vt:lpstr>
      <vt:lpstr>下学期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anjo</dc:creator>
  <cp:lastModifiedBy>涂耀升</cp:lastModifiedBy>
  <dcterms:created xsi:type="dcterms:W3CDTF">2015-03-01T02:15:00Z</dcterms:created>
  <dcterms:modified xsi:type="dcterms:W3CDTF">2026-08-22T10:02:27Z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4F8670DCDAFB4679B11D8DB0137B812B_13</vt:lpwstr>
  </property>
  <property fmtid="{D5CDD505-2E9C-101B-9397-08002B2CF9AE}" pid="4" name="CalculationRule">
    <vt:i4>0</vt:i4>
  </property>
</Properties>
</file>